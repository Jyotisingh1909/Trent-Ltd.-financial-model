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414e5f425f2d11ef/Documents/"/>
    </mc:Choice>
  </mc:AlternateContent>
  <xr:revisionPtr revIDLastSave="272" documentId="8_{0903A28E-8986-4D0C-BE68-28C40C5723E8}" xr6:coauthVersionLast="47" xr6:coauthVersionMax="47" xr10:uidLastSave="{DDDEE1FA-0FFF-486C-BC48-3B5E52C78990}"/>
  <bookViews>
    <workbookView xWindow="-120" yWindow="-120" windowWidth="29040" windowHeight="15720" activeTab="1" xr2:uid="{E37BAC5A-3F77-4AB9-A443-849082145CF4}"/>
  </bookViews>
  <sheets>
    <sheet name="Data Sheet" sheetId="15" r:id="rId1"/>
    <sheet name="DCF" sheetId="14" r:id="rId2"/>
    <sheet name="Beta - Comps" sheetId="10" r:id="rId3"/>
    <sheet name="Raw FS" sheetId="12" r:id="rId4"/>
    <sheet name="Intrinsic growth" sheetId="13" r:id="rId5"/>
    <sheet name="Trent- Beta Regression" sheetId="9" r:id="rId6"/>
    <sheet name="DMART- Beta Regression" sheetId="4" r:id="rId7"/>
    <sheet name="VMM - Beta Regression " sheetId="6" r:id="rId8"/>
    <sheet name="ABLBL- Beta Regression" sheetId="7" r:id="rId9"/>
    <sheet name="Manyavar- Beta Regression" sheetId="8" r:id="rId10"/>
  </sheets>
  <externalReferences>
    <externalReference r:id="rId11"/>
  </externalReferences>
  <definedNames>
    <definedName name="Annual_Growth_Tapering" localSheetId="0">'[1]DCF Model'!$C$17</definedName>
    <definedName name="Annual_Growth_Tapering">DCF!$C$17</definedName>
    <definedName name="Tax_rate">'[1]DCF Model'!$C$22</definedName>
    <definedName name="UPDATE">'Data Sheet'!$E$1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09" i="14" l="1"/>
  <c r="J110" i="14"/>
  <c r="I101" i="14"/>
  <c r="I100" i="14"/>
  <c r="I99" i="14"/>
  <c r="I98" i="14"/>
  <c r="I97" i="14"/>
  <c r="E101" i="14"/>
  <c r="E100" i="14"/>
  <c r="E99" i="14"/>
  <c r="E98" i="14"/>
  <c r="E97" i="14"/>
  <c r="C119" i="14" s="1"/>
  <c r="D101" i="14"/>
  <c r="D100" i="14"/>
  <c r="D99" i="14"/>
  <c r="D98" i="14"/>
  <c r="D97" i="14"/>
  <c r="C118" i="14" s="1"/>
  <c r="J119" i="14"/>
  <c r="E108" i="14"/>
  <c r="F101" i="14"/>
  <c r="E109" i="14" s="1"/>
  <c r="F100" i="14"/>
  <c r="F99" i="14"/>
  <c r="F98" i="14"/>
  <c r="F97" i="14"/>
  <c r="D139" i="14"/>
  <c r="E139" i="14" s="1"/>
  <c r="F139" i="14" s="1"/>
  <c r="G139" i="14" s="1"/>
  <c r="C133" i="14"/>
  <c r="E1" i="15"/>
  <c r="B6" i="15"/>
  <c r="H86" i="15"/>
  <c r="I86" i="15"/>
  <c r="J86" i="15"/>
  <c r="K86" i="15"/>
  <c r="H87" i="15"/>
  <c r="I87" i="15"/>
  <c r="J87" i="15"/>
  <c r="K87" i="15"/>
  <c r="K57" i="13"/>
  <c r="J57" i="13"/>
  <c r="I57" i="13"/>
  <c r="H47" i="13"/>
  <c r="I47" i="13" s="1"/>
  <c r="J47" i="13" s="1"/>
  <c r="K47" i="13" s="1"/>
  <c r="K43" i="13"/>
  <c r="J43" i="13"/>
  <c r="I43" i="13"/>
  <c r="H43" i="13"/>
  <c r="G43" i="13"/>
  <c r="D77" i="14"/>
  <c r="E77" i="14" s="1"/>
  <c r="F77" i="14" s="1"/>
  <c r="G77" i="14" s="1"/>
  <c r="C72" i="14"/>
  <c r="C73" i="14" s="1"/>
  <c r="D73" i="14" s="1"/>
  <c r="E73" i="14" s="1"/>
  <c r="F73" i="14" s="1"/>
  <c r="G73" i="14" s="1"/>
  <c r="D71" i="14"/>
  <c r="D68" i="14"/>
  <c r="E68" i="14" s="1"/>
  <c r="F68" i="14" s="1"/>
  <c r="G68" i="14" s="1"/>
  <c r="G64" i="14"/>
  <c r="F64" i="14"/>
  <c r="E64" i="14"/>
  <c r="D64" i="14"/>
  <c r="C64" i="14"/>
  <c r="G63" i="14"/>
  <c r="F63" i="14"/>
  <c r="E63" i="14"/>
  <c r="D63" i="14"/>
  <c r="C63" i="14"/>
  <c r="G62" i="14"/>
  <c r="F62" i="14"/>
  <c r="E62" i="14"/>
  <c r="D62" i="14"/>
  <c r="C62" i="14"/>
  <c r="G61" i="14"/>
  <c r="F61" i="14"/>
  <c r="E61" i="14"/>
  <c r="D61" i="14"/>
  <c r="C61" i="14"/>
  <c r="G60" i="14"/>
  <c r="F60" i="14"/>
  <c r="E60" i="14"/>
  <c r="D60" i="14"/>
  <c r="C60" i="14"/>
  <c r="G59" i="14"/>
  <c r="F59" i="14"/>
  <c r="E59" i="14"/>
  <c r="D59" i="14"/>
  <c r="C59" i="14"/>
  <c r="G58" i="14"/>
  <c r="F58" i="14"/>
  <c r="E58" i="14"/>
  <c r="D58" i="14"/>
  <c r="C58" i="14"/>
  <c r="G56" i="14"/>
  <c r="F56" i="14"/>
  <c r="E56" i="14"/>
  <c r="D56" i="14"/>
  <c r="C56" i="14"/>
  <c r="G55" i="14"/>
  <c r="F55" i="14"/>
  <c r="E55" i="14"/>
  <c r="D55" i="14"/>
  <c r="C55" i="14"/>
  <c r="G54" i="14"/>
  <c r="F54" i="14"/>
  <c r="E54" i="14"/>
  <c r="D54" i="14"/>
  <c r="C54" i="14"/>
  <c r="G53" i="14"/>
  <c r="F53" i="14"/>
  <c r="E53" i="14"/>
  <c r="D53" i="14"/>
  <c r="C53" i="14"/>
  <c r="D52" i="14"/>
  <c r="E52" i="14" s="1"/>
  <c r="F52" i="14" s="1"/>
  <c r="G52" i="14" s="1"/>
  <c r="G46" i="14"/>
  <c r="F46" i="14"/>
  <c r="E46" i="14"/>
  <c r="D46" i="14"/>
  <c r="C46" i="14"/>
  <c r="G42" i="14"/>
  <c r="G43" i="14" s="1"/>
  <c r="F42" i="14"/>
  <c r="F43" i="14" s="1"/>
  <c r="E42" i="14"/>
  <c r="E43" i="14" s="1"/>
  <c r="D42" i="14"/>
  <c r="D43" i="14" s="1"/>
  <c r="C42" i="14"/>
  <c r="C43" i="14" s="1"/>
  <c r="G41" i="14"/>
  <c r="F41" i="14"/>
  <c r="E41" i="14"/>
  <c r="D41" i="14"/>
  <c r="C41" i="14"/>
  <c r="G37" i="14"/>
  <c r="F37" i="14"/>
  <c r="E37" i="14"/>
  <c r="D37" i="14"/>
  <c r="C37" i="14"/>
  <c r="D120" i="14" s="1"/>
  <c r="G33" i="14"/>
  <c r="F33" i="14"/>
  <c r="E33" i="14"/>
  <c r="D33" i="14"/>
  <c r="C33" i="14"/>
  <c r="G29" i="14"/>
  <c r="F29" i="14"/>
  <c r="E29" i="14"/>
  <c r="D29" i="14"/>
  <c r="C29" i="14"/>
  <c r="G27" i="14"/>
  <c r="F27" i="14"/>
  <c r="E27" i="14"/>
  <c r="D27" i="14"/>
  <c r="C27" i="14"/>
  <c r="D26" i="14"/>
  <c r="E26" i="14" s="1"/>
  <c r="F26" i="14" s="1"/>
  <c r="G26" i="14" s="1"/>
  <c r="K33" i="13"/>
  <c r="J33" i="13"/>
  <c r="I33" i="13"/>
  <c r="H33" i="13"/>
  <c r="G33" i="13"/>
  <c r="B33" i="13"/>
  <c r="K30" i="13"/>
  <c r="J30" i="13"/>
  <c r="I30" i="13"/>
  <c r="H30" i="13"/>
  <c r="G30" i="13"/>
  <c r="B30" i="13"/>
  <c r="K29" i="13"/>
  <c r="J29" i="13"/>
  <c r="I29" i="13"/>
  <c r="H29" i="13"/>
  <c r="G29" i="13"/>
  <c r="B29" i="13"/>
  <c r="K28" i="13"/>
  <c r="J28" i="13"/>
  <c r="I28" i="13"/>
  <c r="H28" i="13"/>
  <c r="G28" i="13"/>
  <c r="B28" i="13"/>
  <c r="K27" i="13"/>
  <c r="J27" i="13"/>
  <c r="I27" i="13"/>
  <c r="H27" i="13"/>
  <c r="G27" i="13"/>
  <c r="B27" i="13"/>
  <c r="K26" i="13"/>
  <c r="J26" i="13"/>
  <c r="I26" i="13"/>
  <c r="H26" i="13"/>
  <c r="G26" i="13"/>
  <c r="B26" i="13"/>
  <c r="K25" i="13"/>
  <c r="J25" i="13"/>
  <c r="I25" i="13"/>
  <c r="H25" i="13"/>
  <c r="G25" i="13"/>
  <c r="B25" i="13"/>
  <c r="K24" i="13"/>
  <c r="J24" i="13"/>
  <c r="I24" i="13"/>
  <c r="H24" i="13"/>
  <c r="G24" i="13"/>
  <c r="B24" i="13"/>
  <c r="K23" i="13"/>
  <c r="J23" i="13"/>
  <c r="I23" i="13"/>
  <c r="H23" i="13"/>
  <c r="G23" i="13"/>
  <c r="B23" i="13"/>
  <c r="K22" i="13"/>
  <c r="J22" i="13"/>
  <c r="I22" i="13"/>
  <c r="H22" i="13"/>
  <c r="G22" i="13"/>
  <c r="B22" i="13"/>
  <c r="K16" i="13"/>
  <c r="J16" i="13"/>
  <c r="I16" i="13"/>
  <c r="H16" i="13"/>
  <c r="G16" i="13"/>
  <c r="K15" i="13"/>
  <c r="K17" i="13" s="1"/>
  <c r="J15" i="13"/>
  <c r="I15" i="13"/>
  <c r="H15" i="13"/>
  <c r="H17" i="13" s="1"/>
  <c r="G15" i="13"/>
  <c r="B16" i="13"/>
  <c r="B15" i="13"/>
  <c r="K11" i="13"/>
  <c r="J11" i="13"/>
  <c r="I11" i="13"/>
  <c r="H11" i="13"/>
  <c r="G11" i="13"/>
  <c r="K10" i="13"/>
  <c r="J10" i="13"/>
  <c r="I10" i="13"/>
  <c r="H10" i="13"/>
  <c r="G10" i="13"/>
  <c r="K9" i="13"/>
  <c r="J9" i="13"/>
  <c r="I9" i="13"/>
  <c r="H9" i="13"/>
  <c r="G9" i="13"/>
  <c r="K8" i="13"/>
  <c r="J8" i="13"/>
  <c r="I8" i="13"/>
  <c r="H8" i="13"/>
  <c r="G8" i="13"/>
  <c r="B10" i="13"/>
  <c r="B11" i="13"/>
  <c r="B9" i="13"/>
  <c r="B8" i="13"/>
  <c r="K5" i="13"/>
  <c r="K41" i="13" s="1"/>
  <c r="J5" i="13"/>
  <c r="J41" i="13" s="1"/>
  <c r="I5" i="13"/>
  <c r="I41" i="13" s="1"/>
  <c r="H5" i="13"/>
  <c r="H41" i="13" s="1"/>
  <c r="H57" i="13" s="1"/>
  <c r="G5" i="13"/>
  <c r="G41" i="13" s="1"/>
  <c r="G57" i="13" s="1"/>
  <c r="N32" i="12"/>
  <c r="M32" i="12"/>
  <c r="L32" i="12"/>
  <c r="K32" i="12"/>
  <c r="J32" i="12"/>
  <c r="I32" i="12"/>
  <c r="H32" i="12"/>
  <c r="G32" i="12"/>
  <c r="F32" i="12"/>
  <c r="E32" i="12"/>
  <c r="D32" i="12"/>
  <c r="C32" i="12"/>
  <c r="M13" i="9"/>
  <c r="G113" i="9"/>
  <c r="G112" i="9"/>
  <c r="G111" i="9"/>
  <c r="G110" i="9"/>
  <c r="G109" i="9"/>
  <c r="G108" i="9"/>
  <c r="G107" i="9"/>
  <c r="G106" i="9"/>
  <c r="G105" i="9"/>
  <c r="G104" i="9"/>
  <c r="G103" i="9"/>
  <c r="G102" i="9"/>
  <c r="G101" i="9"/>
  <c r="G100" i="9"/>
  <c r="G99" i="9"/>
  <c r="G98" i="9"/>
  <c r="G97" i="9"/>
  <c r="G96" i="9"/>
  <c r="G95" i="9"/>
  <c r="G94" i="9"/>
  <c r="G93" i="9"/>
  <c r="G92" i="9"/>
  <c r="G91" i="9"/>
  <c r="G90" i="9"/>
  <c r="G89" i="9"/>
  <c r="G88" i="9"/>
  <c r="G87" i="9"/>
  <c r="G86" i="9"/>
  <c r="G85" i="9"/>
  <c r="G84" i="9"/>
  <c r="G83" i="9"/>
  <c r="G82" i="9"/>
  <c r="G81" i="9"/>
  <c r="G80" i="9"/>
  <c r="G79" i="9"/>
  <c r="G78" i="9"/>
  <c r="G77" i="9"/>
  <c r="G76" i="9"/>
  <c r="G75" i="9"/>
  <c r="G74" i="9"/>
  <c r="G73" i="9"/>
  <c r="G72" i="9"/>
  <c r="G71" i="9"/>
  <c r="G70" i="9"/>
  <c r="G69" i="9"/>
  <c r="G68"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G67" i="9"/>
  <c r="D67" i="9"/>
  <c r="G66" i="9"/>
  <c r="D66" i="9"/>
  <c r="G65" i="9"/>
  <c r="D65" i="9"/>
  <c r="G64" i="9"/>
  <c r="D64" i="9"/>
  <c r="G63" i="9"/>
  <c r="D63" i="9"/>
  <c r="G62" i="9"/>
  <c r="D62" i="9"/>
  <c r="G61" i="9"/>
  <c r="D61" i="9"/>
  <c r="G60" i="9"/>
  <c r="D60" i="9"/>
  <c r="G59" i="9"/>
  <c r="D59" i="9"/>
  <c r="G58" i="9"/>
  <c r="D58" i="9"/>
  <c r="G57" i="9"/>
  <c r="D57" i="9"/>
  <c r="G56" i="9"/>
  <c r="D56" i="9"/>
  <c r="G55" i="9"/>
  <c r="D55" i="9"/>
  <c r="G54" i="9"/>
  <c r="D54" i="9"/>
  <c r="G53" i="9"/>
  <c r="D53" i="9"/>
  <c r="G52" i="9"/>
  <c r="D52" i="9"/>
  <c r="G51" i="9"/>
  <c r="D51" i="9"/>
  <c r="G50" i="9"/>
  <c r="D50" i="9"/>
  <c r="G49" i="9"/>
  <c r="D49" i="9"/>
  <c r="G48" i="9"/>
  <c r="D48" i="9"/>
  <c r="G47" i="9"/>
  <c r="D47" i="9"/>
  <c r="G46" i="9"/>
  <c r="D46" i="9"/>
  <c r="G45" i="9"/>
  <c r="D45" i="9"/>
  <c r="G44" i="9"/>
  <c r="D44" i="9"/>
  <c r="G43" i="9"/>
  <c r="D43" i="9"/>
  <c r="G42" i="9"/>
  <c r="D42" i="9"/>
  <c r="G41" i="9"/>
  <c r="D41" i="9"/>
  <c r="G40" i="9"/>
  <c r="D40" i="9"/>
  <c r="G39" i="9"/>
  <c r="D39" i="9"/>
  <c r="G38" i="9"/>
  <c r="D38" i="9"/>
  <c r="G37" i="9"/>
  <c r="D37" i="9"/>
  <c r="G36" i="9"/>
  <c r="D36" i="9"/>
  <c r="G35" i="9"/>
  <c r="D35" i="9"/>
  <c r="G34" i="9"/>
  <c r="D34" i="9"/>
  <c r="G33" i="9"/>
  <c r="D33" i="9"/>
  <c r="G32" i="9"/>
  <c r="D32" i="9"/>
  <c r="G31" i="9"/>
  <c r="D31" i="9"/>
  <c r="G30" i="9"/>
  <c r="D30" i="9"/>
  <c r="G29" i="9"/>
  <c r="D29" i="9"/>
  <c r="G28" i="9"/>
  <c r="D28" i="9"/>
  <c r="G27" i="9"/>
  <c r="D27" i="9"/>
  <c r="G26" i="9"/>
  <c r="D26" i="9"/>
  <c r="G25" i="9"/>
  <c r="D25" i="9"/>
  <c r="G24" i="9"/>
  <c r="D24" i="9"/>
  <c r="G23" i="9"/>
  <c r="D23" i="9"/>
  <c r="G22" i="9"/>
  <c r="D22" i="9"/>
  <c r="G21" i="9"/>
  <c r="D21" i="9"/>
  <c r="G20" i="9"/>
  <c r="D20" i="9"/>
  <c r="G19" i="9"/>
  <c r="D19" i="9"/>
  <c r="G18" i="9"/>
  <c r="D18" i="9"/>
  <c r="G17" i="9"/>
  <c r="D17" i="9"/>
  <c r="G16" i="9"/>
  <c r="D16" i="9"/>
  <c r="G15" i="9"/>
  <c r="D15" i="9"/>
  <c r="G14" i="9"/>
  <c r="D14" i="9"/>
  <c r="G13" i="9"/>
  <c r="D13" i="9"/>
  <c r="G12" i="9"/>
  <c r="D12" i="9"/>
  <c r="G11" i="9"/>
  <c r="D11" i="9"/>
  <c r="M13" i="8"/>
  <c r="G113" i="8"/>
  <c r="D113" i="8"/>
  <c r="G112" i="8"/>
  <c r="D112" i="8"/>
  <c r="G111" i="8"/>
  <c r="D111" i="8"/>
  <c r="G110" i="8"/>
  <c r="D110" i="8"/>
  <c r="G109" i="8"/>
  <c r="D109" i="8"/>
  <c r="G108" i="8"/>
  <c r="D108" i="8"/>
  <c r="G107" i="8"/>
  <c r="D107" i="8"/>
  <c r="G106" i="8"/>
  <c r="D106" i="8"/>
  <c r="G105" i="8"/>
  <c r="D105" i="8"/>
  <c r="G104" i="8"/>
  <c r="D104" i="8"/>
  <c r="G103" i="8"/>
  <c r="D103" i="8"/>
  <c r="G102" i="8"/>
  <c r="D102" i="8"/>
  <c r="G101" i="8"/>
  <c r="D101" i="8"/>
  <c r="G100" i="8"/>
  <c r="D100" i="8"/>
  <c r="G99" i="8"/>
  <c r="D99" i="8"/>
  <c r="G98" i="8"/>
  <c r="D98" i="8"/>
  <c r="G97" i="8"/>
  <c r="D97" i="8"/>
  <c r="G96" i="8"/>
  <c r="D96" i="8"/>
  <c r="G95" i="8"/>
  <c r="D95" i="8"/>
  <c r="G94" i="8"/>
  <c r="D94" i="8"/>
  <c r="G93" i="8"/>
  <c r="D93" i="8"/>
  <c r="G92" i="8"/>
  <c r="D92" i="8"/>
  <c r="G91" i="8"/>
  <c r="D91" i="8"/>
  <c r="G90" i="8"/>
  <c r="D90" i="8"/>
  <c r="G89" i="8"/>
  <c r="D89" i="8"/>
  <c r="G88" i="8"/>
  <c r="D88" i="8"/>
  <c r="G87" i="8"/>
  <c r="D87" i="8"/>
  <c r="G86" i="8"/>
  <c r="D86" i="8"/>
  <c r="G85" i="8"/>
  <c r="D85" i="8"/>
  <c r="G84" i="8"/>
  <c r="D84" i="8"/>
  <c r="G83" i="8"/>
  <c r="D83" i="8"/>
  <c r="G82" i="8"/>
  <c r="D82" i="8"/>
  <c r="G81" i="8"/>
  <c r="D81" i="8"/>
  <c r="G80" i="8"/>
  <c r="D80" i="8"/>
  <c r="G79" i="8"/>
  <c r="D79" i="8"/>
  <c r="G78" i="8"/>
  <c r="D78" i="8"/>
  <c r="G77" i="8"/>
  <c r="D77" i="8"/>
  <c r="G76" i="8"/>
  <c r="D76" i="8"/>
  <c r="G75" i="8"/>
  <c r="D75" i="8"/>
  <c r="G74" i="8"/>
  <c r="D74" i="8"/>
  <c r="G73" i="8"/>
  <c r="D73" i="8"/>
  <c r="G72" i="8"/>
  <c r="D72" i="8"/>
  <c r="G71" i="8"/>
  <c r="D71" i="8"/>
  <c r="G70" i="8"/>
  <c r="D70" i="8"/>
  <c r="G69" i="8"/>
  <c r="D69" i="8"/>
  <c r="G68" i="8"/>
  <c r="D68" i="8"/>
  <c r="G67" i="8"/>
  <c r="D67" i="8"/>
  <c r="G66" i="8"/>
  <c r="D66" i="8"/>
  <c r="G65" i="8"/>
  <c r="D65" i="8"/>
  <c r="G64" i="8"/>
  <c r="D64" i="8"/>
  <c r="G63" i="8"/>
  <c r="D63" i="8"/>
  <c r="G62" i="8"/>
  <c r="D62" i="8"/>
  <c r="G61" i="8"/>
  <c r="D61" i="8"/>
  <c r="G60" i="8"/>
  <c r="D60" i="8"/>
  <c r="G59" i="8"/>
  <c r="D59" i="8"/>
  <c r="G58" i="8"/>
  <c r="D58" i="8"/>
  <c r="G57" i="8"/>
  <c r="D57" i="8"/>
  <c r="G56" i="8"/>
  <c r="D56" i="8"/>
  <c r="G55" i="8"/>
  <c r="D55" i="8"/>
  <c r="G54" i="8"/>
  <c r="D54" i="8"/>
  <c r="G53" i="8"/>
  <c r="D53" i="8"/>
  <c r="G52" i="8"/>
  <c r="D52" i="8"/>
  <c r="G51" i="8"/>
  <c r="D51" i="8"/>
  <c r="G50" i="8"/>
  <c r="D50" i="8"/>
  <c r="G49" i="8"/>
  <c r="D49" i="8"/>
  <c r="G48" i="8"/>
  <c r="D48" i="8"/>
  <c r="G47" i="8"/>
  <c r="D47" i="8"/>
  <c r="G46" i="8"/>
  <c r="D46" i="8"/>
  <c r="G45" i="8"/>
  <c r="D45" i="8"/>
  <c r="G44" i="8"/>
  <c r="D44" i="8"/>
  <c r="G43" i="8"/>
  <c r="D43" i="8"/>
  <c r="G42" i="8"/>
  <c r="D42" i="8"/>
  <c r="G41" i="8"/>
  <c r="D41" i="8"/>
  <c r="G40" i="8"/>
  <c r="D40" i="8"/>
  <c r="G39" i="8"/>
  <c r="D39" i="8"/>
  <c r="G38" i="8"/>
  <c r="D38" i="8"/>
  <c r="G37" i="8"/>
  <c r="D37" i="8"/>
  <c r="G36" i="8"/>
  <c r="D36" i="8"/>
  <c r="G35" i="8"/>
  <c r="D35" i="8"/>
  <c r="G34" i="8"/>
  <c r="D34" i="8"/>
  <c r="G33" i="8"/>
  <c r="D33" i="8"/>
  <c r="G32" i="8"/>
  <c r="D32" i="8"/>
  <c r="G31" i="8"/>
  <c r="D31" i="8"/>
  <c r="G30" i="8"/>
  <c r="D30" i="8"/>
  <c r="G29" i="8"/>
  <c r="D29" i="8"/>
  <c r="G28" i="8"/>
  <c r="D28" i="8"/>
  <c r="G27" i="8"/>
  <c r="D27" i="8"/>
  <c r="G26" i="8"/>
  <c r="D26" i="8"/>
  <c r="G25" i="8"/>
  <c r="D25" i="8"/>
  <c r="G24" i="8"/>
  <c r="D24" i="8"/>
  <c r="M11" i="8" s="1"/>
  <c r="G23" i="8"/>
  <c r="D23" i="8"/>
  <c r="G22" i="8"/>
  <c r="D22" i="8"/>
  <c r="G21" i="8"/>
  <c r="D21" i="8"/>
  <c r="G20" i="8"/>
  <c r="D20" i="8"/>
  <c r="G19" i="8"/>
  <c r="D19" i="8"/>
  <c r="G18" i="8"/>
  <c r="D18" i="8"/>
  <c r="G17" i="8"/>
  <c r="D17" i="8"/>
  <c r="G16" i="8"/>
  <c r="D16" i="8"/>
  <c r="G15" i="8"/>
  <c r="D15" i="8"/>
  <c r="G14" i="8"/>
  <c r="D14" i="8"/>
  <c r="G13" i="8"/>
  <c r="D13" i="8"/>
  <c r="G12" i="8"/>
  <c r="D12" i="8"/>
  <c r="G11" i="8"/>
  <c r="D11" i="8"/>
  <c r="M13" i="7"/>
  <c r="G113" i="7"/>
  <c r="D113" i="7"/>
  <c r="G112" i="7"/>
  <c r="D112" i="7"/>
  <c r="G111" i="7"/>
  <c r="D111" i="7"/>
  <c r="G110" i="7"/>
  <c r="D110" i="7"/>
  <c r="G109" i="7"/>
  <c r="D109" i="7"/>
  <c r="G108" i="7"/>
  <c r="D108" i="7"/>
  <c r="G107" i="7"/>
  <c r="D107" i="7"/>
  <c r="G106" i="7"/>
  <c r="D106" i="7"/>
  <c r="G105" i="7"/>
  <c r="D105" i="7"/>
  <c r="G104" i="7"/>
  <c r="D104" i="7"/>
  <c r="G103" i="7"/>
  <c r="D103" i="7"/>
  <c r="G102" i="7"/>
  <c r="D102" i="7"/>
  <c r="G101" i="7"/>
  <c r="D101" i="7"/>
  <c r="G100" i="7"/>
  <c r="D100" i="7"/>
  <c r="G99" i="7"/>
  <c r="D99" i="7"/>
  <c r="G98" i="7"/>
  <c r="D98" i="7"/>
  <c r="G97" i="7"/>
  <c r="D97" i="7"/>
  <c r="G96" i="7"/>
  <c r="D96" i="7"/>
  <c r="G95" i="7"/>
  <c r="D95" i="7"/>
  <c r="G94" i="7"/>
  <c r="D94" i="7"/>
  <c r="G93" i="7"/>
  <c r="D93" i="7"/>
  <c r="G92" i="7"/>
  <c r="D92" i="7"/>
  <c r="G91" i="7"/>
  <c r="D91" i="7"/>
  <c r="G90" i="7"/>
  <c r="D90" i="7"/>
  <c r="G89" i="7"/>
  <c r="D89" i="7"/>
  <c r="G88" i="7"/>
  <c r="D88" i="7"/>
  <c r="G87" i="7"/>
  <c r="D87" i="7"/>
  <c r="G86" i="7"/>
  <c r="D86" i="7"/>
  <c r="G85" i="7"/>
  <c r="D85" i="7"/>
  <c r="G84" i="7"/>
  <c r="D84" i="7"/>
  <c r="G83" i="7"/>
  <c r="D83" i="7"/>
  <c r="G82" i="7"/>
  <c r="D82" i="7"/>
  <c r="G81" i="7"/>
  <c r="D81" i="7"/>
  <c r="G80" i="7"/>
  <c r="D80" i="7"/>
  <c r="G79" i="7"/>
  <c r="D79" i="7"/>
  <c r="G78" i="7"/>
  <c r="D78" i="7"/>
  <c r="G77" i="7"/>
  <c r="D77" i="7"/>
  <c r="G76" i="7"/>
  <c r="D76" i="7"/>
  <c r="G75" i="7"/>
  <c r="D75" i="7"/>
  <c r="G74" i="7"/>
  <c r="D74" i="7"/>
  <c r="G73" i="7"/>
  <c r="D73" i="7"/>
  <c r="G72" i="7"/>
  <c r="D72" i="7"/>
  <c r="G71" i="7"/>
  <c r="D71" i="7"/>
  <c r="G70" i="7"/>
  <c r="D70" i="7"/>
  <c r="G69" i="7"/>
  <c r="D69" i="7"/>
  <c r="G68" i="7"/>
  <c r="D68" i="7"/>
  <c r="G67" i="7"/>
  <c r="D67" i="7"/>
  <c r="G66" i="7"/>
  <c r="D66" i="7"/>
  <c r="G65" i="7"/>
  <c r="D65" i="7"/>
  <c r="G64" i="7"/>
  <c r="D64" i="7"/>
  <c r="G63" i="7"/>
  <c r="D63" i="7"/>
  <c r="G62" i="7"/>
  <c r="D62" i="7"/>
  <c r="G61" i="7"/>
  <c r="D61" i="7"/>
  <c r="G60" i="7"/>
  <c r="D60" i="7"/>
  <c r="G59" i="7"/>
  <c r="D59" i="7"/>
  <c r="G58" i="7"/>
  <c r="D58" i="7"/>
  <c r="G57" i="7"/>
  <c r="D57" i="7"/>
  <c r="G56" i="7"/>
  <c r="D56" i="7"/>
  <c r="G55" i="7"/>
  <c r="D55" i="7"/>
  <c r="G54" i="7"/>
  <c r="D54" i="7"/>
  <c r="G53" i="7"/>
  <c r="D53" i="7"/>
  <c r="G52" i="7"/>
  <c r="D52" i="7"/>
  <c r="G51" i="7"/>
  <c r="D51" i="7"/>
  <c r="G50" i="7"/>
  <c r="D50" i="7"/>
  <c r="G49" i="7"/>
  <c r="D49" i="7"/>
  <c r="G48" i="7"/>
  <c r="D48" i="7"/>
  <c r="G47" i="7"/>
  <c r="D47" i="7"/>
  <c r="G46" i="7"/>
  <c r="D46" i="7"/>
  <c r="G45" i="7"/>
  <c r="D45" i="7"/>
  <c r="G44" i="7"/>
  <c r="D44" i="7"/>
  <c r="G43" i="7"/>
  <c r="D43" i="7"/>
  <c r="G42" i="7"/>
  <c r="D42" i="7"/>
  <c r="G41" i="7"/>
  <c r="D41" i="7"/>
  <c r="G40" i="7"/>
  <c r="D40" i="7"/>
  <c r="G39" i="7"/>
  <c r="D39" i="7"/>
  <c r="G38" i="7"/>
  <c r="D38" i="7"/>
  <c r="G37" i="7"/>
  <c r="D37" i="7"/>
  <c r="G36" i="7"/>
  <c r="D36" i="7"/>
  <c r="G35" i="7"/>
  <c r="D35" i="7"/>
  <c r="G34" i="7"/>
  <c r="D34" i="7"/>
  <c r="G33" i="7"/>
  <c r="D33" i="7"/>
  <c r="G32" i="7"/>
  <c r="D32" i="7"/>
  <c r="G31" i="7"/>
  <c r="D31" i="7"/>
  <c r="G30" i="7"/>
  <c r="D30" i="7"/>
  <c r="G29" i="7"/>
  <c r="D29" i="7"/>
  <c r="G28" i="7"/>
  <c r="D28" i="7"/>
  <c r="G27" i="7"/>
  <c r="D27" i="7"/>
  <c r="G26" i="7"/>
  <c r="D26" i="7"/>
  <c r="G25" i="7"/>
  <c r="D25" i="7"/>
  <c r="G24" i="7"/>
  <c r="D24" i="7"/>
  <c r="G23" i="7"/>
  <c r="D23" i="7"/>
  <c r="G22" i="7"/>
  <c r="D22" i="7"/>
  <c r="G21" i="7"/>
  <c r="D21" i="7"/>
  <c r="G20" i="7"/>
  <c r="D20" i="7"/>
  <c r="G19" i="7"/>
  <c r="D19" i="7"/>
  <c r="G18" i="7"/>
  <c r="D18" i="7"/>
  <c r="G17" i="7"/>
  <c r="D17" i="7"/>
  <c r="G16" i="7"/>
  <c r="D16" i="7"/>
  <c r="G15" i="7"/>
  <c r="D15" i="7"/>
  <c r="G14" i="7"/>
  <c r="D14" i="7"/>
  <c r="G13" i="7"/>
  <c r="D13" i="7"/>
  <c r="G12" i="7"/>
  <c r="D12" i="7"/>
  <c r="G11" i="7"/>
  <c r="D11" i="7"/>
  <c r="M13" i="6"/>
  <c r="G67" i="6"/>
  <c r="D67" i="6"/>
  <c r="G66" i="6"/>
  <c r="D66" i="6"/>
  <c r="G65" i="6"/>
  <c r="D65" i="6"/>
  <c r="G64" i="6"/>
  <c r="D64" i="6"/>
  <c r="G63" i="6"/>
  <c r="D63" i="6"/>
  <c r="G62" i="6"/>
  <c r="D62" i="6"/>
  <c r="G61" i="6"/>
  <c r="D61" i="6"/>
  <c r="G60" i="6"/>
  <c r="D60" i="6"/>
  <c r="G59" i="6"/>
  <c r="D59" i="6"/>
  <c r="G58" i="6"/>
  <c r="D58" i="6"/>
  <c r="G57" i="6"/>
  <c r="D57" i="6"/>
  <c r="G56" i="6"/>
  <c r="D56" i="6"/>
  <c r="G55" i="6"/>
  <c r="D55" i="6"/>
  <c r="G54" i="6"/>
  <c r="D54" i="6"/>
  <c r="G53" i="6"/>
  <c r="D53" i="6"/>
  <c r="G52" i="6"/>
  <c r="D52" i="6"/>
  <c r="G51" i="6"/>
  <c r="D51" i="6"/>
  <c r="G50" i="6"/>
  <c r="D50" i="6"/>
  <c r="G49" i="6"/>
  <c r="D49" i="6"/>
  <c r="G48" i="6"/>
  <c r="D48" i="6"/>
  <c r="G47" i="6"/>
  <c r="D47" i="6"/>
  <c r="G46" i="6"/>
  <c r="D46" i="6"/>
  <c r="G45" i="6"/>
  <c r="D45" i="6"/>
  <c r="G44" i="6"/>
  <c r="D44" i="6"/>
  <c r="G43" i="6"/>
  <c r="D43" i="6"/>
  <c r="G42" i="6"/>
  <c r="D42" i="6"/>
  <c r="G41" i="6"/>
  <c r="D41" i="6"/>
  <c r="G40" i="6"/>
  <c r="D40" i="6"/>
  <c r="G39" i="6"/>
  <c r="D39" i="6"/>
  <c r="G38" i="6"/>
  <c r="D38" i="6"/>
  <c r="G37" i="6"/>
  <c r="D37" i="6"/>
  <c r="G36" i="6"/>
  <c r="D36" i="6"/>
  <c r="G35" i="6"/>
  <c r="D35" i="6"/>
  <c r="G34" i="6"/>
  <c r="D34" i="6"/>
  <c r="G33" i="6"/>
  <c r="D33" i="6"/>
  <c r="G32" i="6"/>
  <c r="D32" i="6"/>
  <c r="G31" i="6"/>
  <c r="D31" i="6"/>
  <c r="G30" i="6"/>
  <c r="D30" i="6"/>
  <c r="G29" i="6"/>
  <c r="D29" i="6"/>
  <c r="G28" i="6"/>
  <c r="D28" i="6"/>
  <c r="G27" i="6"/>
  <c r="D27" i="6"/>
  <c r="G26" i="6"/>
  <c r="D26" i="6"/>
  <c r="G25" i="6"/>
  <c r="D25" i="6"/>
  <c r="G24" i="6"/>
  <c r="D24" i="6"/>
  <c r="G23" i="6"/>
  <c r="D23" i="6"/>
  <c r="G22" i="6"/>
  <c r="D22" i="6"/>
  <c r="G21" i="6"/>
  <c r="D21" i="6"/>
  <c r="G20" i="6"/>
  <c r="D20" i="6"/>
  <c r="G19" i="6"/>
  <c r="D19" i="6"/>
  <c r="G18" i="6"/>
  <c r="D18" i="6"/>
  <c r="G17" i="6"/>
  <c r="D17" i="6"/>
  <c r="G16" i="6"/>
  <c r="D16" i="6"/>
  <c r="G15" i="6"/>
  <c r="D15" i="6"/>
  <c r="G14" i="6"/>
  <c r="D14" i="6"/>
  <c r="G13" i="6"/>
  <c r="D13" i="6"/>
  <c r="G12" i="6"/>
  <c r="D12" i="6"/>
  <c r="G11" i="6"/>
  <c r="D11" i="6"/>
  <c r="J15" i="4"/>
  <c r="J9" i="4"/>
  <c r="M13" i="4"/>
  <c r="I104" i="14" l="1"/>
  <c r="G100" i="14"/>
  <c r="J100" i="14" s="1"/>
  <c r="G99" i="14"/>
  <c r="J99" i="14" s="1"/>
  <c r="H100" i="14"/>
  <c r="H98" i="14"/>
  <c r="C156" i="14"/>
  <c r="H101" i="14"/>
  <c r="F103" i="14"/>
  <c r="E110" i="14"/>
  <c r="I125" i="14" s="1"/>
  <c r="F104" i="14"/>
  <c r="G98" i="14"/>
  <c r="J98" i="14" s="1"/>
  <c r="C120" i="14"/>
  <c r="D119" i="14" s="1"/>
  <c r="I103" i="14"/>
  <c r="H99" i="14"/>
  <c r="G97" i="14"/>
  <c r="H97" i="14"/>
  <c r="G101" i="14"/>
  <c r="J101" i="14" s="1"/>
  <c r="H28" i="14"/>
  <c r="G30" i="14"/>
  <c r="D34" i="14"/>
  <c r="D30" i="14"/>
  <c r="F38" i="14"/>
  <c r="E30" i="14"/>
  <c r="G38" i="14"/>
  <c r="F30" i="14"/>
  <c r="C57" i="14"/>
  <c r="F31" i="14"/>
  <c r="F32" i="14" s="1"/>
  <c r="D65" i="14"/>
  <c r="C74" i="14"/>
  <c r="D74" i="14" s="1"/>
  <c r="E74" i="14" s="1"/>
  <c r="F74" i="14" s="1"/>
  <c r="G74" i="14" s="1"/>
  <c r="D31" i="14"/>
  <c r="D32" i="14" s="1"/>
  <c r="C65" i="14"/>
  <c r="G31" i="14"/>
  <c r="G35" i="14" s="1"/>
  <c r="G39" i="14" s="1"/>
  <c r="F65" i="14"/>
  <c r="E31" i="14"/>
  <c r="E32" i="14" s="1"/>
  <c r="E38" i="14"/>
  <c r="C34" i="14"/>
  <c r="G65" i="14"/>
  <c r="F34" i="14"/>
  <c r="D38" i="14"/>
  <c r="E65" i="14"/>
  <c r="D28" i="14"/>
  <c r="D57" i="14"/>
  <c r="E28" i="14"/>
  <c r="C31" i="14"/>
  <c r="C35" i="14" s="1"/>
  <c r="C36" i="14" s="1"/>
  <c r="E57" i="14"/>
  <c r="F28" i="14"/>
  <c r="F57" i="14"/>
  <c r="G28" i="14"/>
  <c r="G57" i="14"/>
  <c r="C38" i="14"/>
  <c r="G34" i="14"/>
  <c r="E34" i="14"/>
  <c r="C30" i="14"/>
  <c r="J32" i="13"/>
  <c r="J34" i="13" s="1"/>
  <c r="D72" i="14"/>
  <c r="E72" i="14" s="1"/>
  <c r="F72" i="14" s="1"/>
  <c r="G72" i="14" s="1"/>
  <c r="K32" i="13"/>
  <c r="K34" i="13" s="1"/>
  <c r="I32" i="13"/>
  <c r="I34" i="13" s="1"/>
  <c r="K12" i="13"/>
  <c r="K19" i="13" s="1"/>
  <c r="J12" i="13"/>
  <c r="G12" i="13"/>
  <c r="H32" i="13"/>
  <c r="H34" i="13" s="1"/>
  <c r="H12" i="13"/>
  <c r="H19" i="13" s="1"/>
  <c r="I17" i="13"/>
  <c r="I12" i="13"/>
  <c r="I19" i="13" s="1"/>
  <c r="J17" i="13"/>
  <c r="G32" i="13"/>
  <c r="G34" i="13" s="1"/>
  <c r="G17" i="13"/>
  <c r="M10" i="9"/>
  <c r="J9" i="9" s="1"/>
  <c r="J15" i="9" s="1"/>
  <c r="M11" i="9"/>
  <c r="M10" i="8"/>
  <c r="J9" i="8" s="1"/>
  <c r="J15" i="8" s="1"/>
  <c r="M11" i="7"/>
  <c r="M10" i="7"/>
  <c r="J9" i="7" s="1"/>
  <c r="J15" i="7" s="1"/>
  <c r="M10" i="6"/>
  <c r="J9" i="6" s="1"/>
  <c r="J15" i="6" s="1"/>
  <c r="M11" i="6"/>
  <c r="E120" i="14" l="1"/>
  <c r="D118" i="14"/>
  <c r="D122" i="14" s="1"/>
  <c r="H103" i="14"/>
  <c r="E118" i="14" s="1"/>
  <c r="H104" i="14"/>
  <c r="G104" i="14"/>
  <c r="G103" i="14"/>
  <c r="J97" i="14"/>
  <c r="C39" i="14"/>
  <c r="G37" i="13" s="1"/>
  <c r="G46" i="13" s="1"/>
  <c r="G48" i="13" s="1"/>
  <c r="F35" i="14"/>
  <c r="F39" i="14" s="1"/>
  <c r="J37" i="13" s="1"/>
  <c r="J46" i="13" s="1"/>
  <c r="J48" i="13" s="1"/>
  <c r="D35" i="14"/>
  <c r="D36" i="14" s="1"/>
  <c r="K37" i="13"/>
  <c r="K46" i="13" s="1"/>
  <c r="K48" i="13" s="1"/>
  <c r="G44" i="14"/>
  <c r="G45" i="14" s="1"/>
  <c r="G40" i="14"/>
  <c r="G32" i="14"/>
  <c r="E35" i="14"/>
  <c r="E36" i="14" s="1"/>
  <c r="G36" i="14"/>
  <c r="C79" i="14" s="1"/>
  <c r="D79" i="14" s="1"/>
  <c r="E79" i="14" s="1"/>
  <c r="F79" i="14" s="1"/>
  <c r="G79" i="14" s="1"/>
  <c r="C32" i="14"/>
  <c r="H36" i="13"/>
  <c r="K36" i="13"/>
  <c r="G36" i="13"/>
  <c r="I44" i="13"/>
  <c r="I50" i="13" s="1"/>
  <c r="I36" i="13"/>
  <c r="J36" i="13"/>
  <c r="C69" i="14" a="1"/>
  <c r="J19" i="13"/>
  <c r="J44" i="13" s="1"/>
  <c r="J50" i="13" s="1"/>
  <c r="G19" i="13"/>
  <c r="H44" i="13" s="1"/>
  <c r="H50" i="13" s="1"/>
  <c r="C40" i="14" l="1"/>
  <c r="G39" i="13"/>
  <c r="C44" i="14"/>
  <c r="C45" i="14" s="1"/>
  <c r="D39" i="14"/>
  <c r="H37" i="13" s="1"/>
  <c r="H46" i="13" s="1"/>
  <c r="H48" i="13" s="1"/>
  <c r="H52" i="13" s="1"/>
  <c r="H59" i="13" s="1"/>
  <c r="F40" i="14"/>
  <c r="J39" i="13"/>
  <c r="J60" i="13" s="1"/>
  <c r="J104" i="14"/>
  <c r="J117" i="14" s="1"/>
  <c r="J103" i="14"/>
  <c r="J125" i="14"/>
  <c r="E119" i="14"/>
  <c r="J126" i="14" s="1"/>
  <c r="G48" i="14"/>
  <c r="G49" i="14" s="1"/>
  <c r="J52" i="13"/>
  <c r="J59" i="13" s="1"/>
  <c r="F36" i="14"/>
  <c r="F44" i="14"/>
  <c r="F47" i="14" s="1"/>
  <c r="K39" i="13"/>
  <c r="K60" i="13" s="1"/>
  <c r="G47" i="14"/>
  <c r="E39" i="14"/>
  <c r="I37" i="13" s="1"/>
  <c r="I46" i="13" s="1"/>
  <c r="I48" i="13" s="1"/>
  <c r="I52" i="13" s="1"/>
  <c r="I59" i="13" s="1"/>
  <c r="K44" i="13"/>
  <c r="K50" i="13" s="1"/>
  <c r="K52" i="13" s="1"/>
  <c r="G69" i="14"/>
  <c r="F69" i="14"/>
  <c r="E69" i="14"/>
  <c r="C69" i="14"/>
  <c r="C70" i="14" s="1"/>
  <c r="D69" i="14"/>
  <c r="J62" i="13" l="1"/>
  <c r="C48" i="14"/>
  <c r="C49" i="14" s="1"/>
  <c r="F45" i="14"/>
  <c r="C47" i="14"/>
  <c r="H39" i="13"/>
  <c r="H60" i="13" s="1"/>
  <c r="H62" i="13" s="1"/>
  <c r="D40" i="14"/>
  <c r="D44" i="14"/>
  <c r="D45" i="14" s="1"/>
  <c r="F48" i="14"/>
  <c r="F49" i="14" s="1"/>
  <c r="E122" i="14"/>
  <c r="J118" i="14" s="1"/>
  <c r="J120" i="14" s="1"/>
  <c r="J111" i="14" s="1"/>
  <c r="E44" i="14"/>
  <c r="I39" i="13"/>
  <c r="I60" i="13" s="1"/>
  <c r="I62" i="13" s="1"/>
  <c r="E40" i="14"/>
  <c r="K55" i="13"/>
  <c r="K59" i="13"/>
  <c r="K62" i="13" s="1"/>
  <c r="K54" i="13"/>
  <c r="C78" i="14"/>
  <c r="D70" i="14"/>
  <c r="D48" i="14" l="1"/>
  <c r="D49" i="14" s="1"/>
  <c r="D47" i="14"/>
  <c r="K65" i="13"/>
  <c r="E47" i="14"/>
  <c r="E48" i="14"/>
  <c r="E49" i="14" s="1"/>
  <c r="E45" i="14"/>
  <c r="K64" i="13"/>
  <c r="D78" i="14"/>
  <c r="E70" i="14"/>
  <c r="C81" i="14"/>
  <c r="C85" i="14" s="1"/>
  <c r="C80" i="14"/>
  <c r="M11" i="4"/>
  <c r="M10" i="4"/>
  <c r="G113" i="4"/>
  <c r="G112" i="4"/>
  <c r="G111" i="4"/>
  <c r="G110" i="4"/>
  <c r="G109" i="4"/>
  <c r="G108" i="4"/>
  <c r="G107" i="4"/>
  <c r="G106" i="4"/>
  <c r="G105" i="4"/>
  <c r="G104" i="4"/>
  <c r="G103" i="4"/>
  <c r="G102" i="4"/>
  <c r="G101" i="4"/>
  <c r="G100" i="4"/>
  <c r="G99" i="4"/>
  <c r="G98" i="4"/>
  <c r="G97" i="4"/>
  <c r="G96" i="4"/>
  <c r="G95" i="4"/>
  <c r="G94" i="4"/>
  <c r="G93" i="4"/>
  <c r="G92" i="4"/>
  <c r="G91" i="4"/>
  <c r="G90" i="4"/>
  <c r="G89" i="4"/>
  <c r="G88" i="4"/>
  <c r="G87" i="4"/>
  <c r="G86" i="4"/>
  <c r="G85" i="4"/>
  <c r="G84" i="4"/>
  <c r="G83" i="4"/>
  <c r="G82" i="4"/>
  <c r="G81" i="4"/>
  <c r="G80" i="4"/>
  <c r="G79" i="4"/>
  <c r="G78" i="4"/>
  <c r="G77" i="4"/>
  <c r="G76" i="4"/>
  <c r="G75" i="4"/>
  <c r="G74" i="4"/>
  <c r="G73" i="4"/>
  <c r="G72" i="4"/>
  <c r="G71" i="4"/>
  <c r="G70" i="4"/>
  <c r="G69" i="4"/>
  <c r="G68" i="4"/>
  <c r="G67" i="4"/>
  <c r="G66" i="4"/>
  <c r="G65" i="4"/>
  <c r="G64" i="4"/>
  <c r="G63" i="4"/>
  <c r="G62" i="4"/>
  <c r="G61" i="4"/>
  <c r="G60" i="4"/>
  <c r="G59" i="4"/>
  <c r="G58"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G12"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G11" i="4"/>
  <c r="D11" i="4"/>
  <c r="C82" i="14" l="1"/>
  <c r="C83" i="14" s="1"/>
  <c r="C84" i="14" s="1"/>
  <c r="E78" i="14"/>
  <c r="F70" i="14"/>
  <c r="D81" i="14"/>
  <c r="D85" i="14" s="1"/>
  <c r="D80" i="14"/>
  <c r="D82" i="14" l="1"/>
  <c r="D83" i="14" s="1"/>
  <c r="D84" i="14" s="1"/>
  <c r="D86" i="14" s="1"/>
  <c r="C86" i="14"/>
  <c r="C87" i="14" s="1"/>
  <c r="C140" i="14" s="1"/>
  <c r="F78" i="14"/>
  <c r="G70" i="14"/>
  <c r="G78" i="14" s="1"/>
  <c r="E80" i="14"/>
  <c r="E81" i="14"/>
  <c r="E85" i="14" s="1"/>
  <c r="D87" i="14" l="1"/>
  <c r="D140" i="14" s="1"/>
  <c r="E82" i="14"/>
  <c r="G81" i="14"/>
  <c r="G85" i="14" s="1"/>
  <c r="G80" i="14"/>
  <c r="F80" i="14"/>
  <c r="F81" i="14"/>
  <c r="F85" i="14" s="1"/>
  <c r="G82" i="14" l="1"/>
  <c r="G83" i="14" s="1"/>
  <c r="G84" i="14" s="1"/>
  <c r="F82" i="14"/>
  <c r="E83" i="14"/>
  <c r="E84" i="14" s="1"/>
  <c r="E86" i="14" l="1"/>
  <c r="E87" i="14" s="1"/>
  <c r="E140" i="14" s="1"/>
  <c r="G86" i="14"/>
  <c r="G87" i="14" s="1"/>
  <c r="F83" i="14"/>
  <c r="F84" i="14" s="1"/>
  <c r="C132" i="14" l="1"/>
  <c r="G140" i="14"/>
  <c r="F86" i="14"/>
  <c r="F87" i="14" s="1"/>
  <c r="F140" i="14" s="1"/>
  <c r="K88" i="15" l="1"/>
  <c r="K89" i="15" s="1"/>
  <c r="H88" i="15" l="1"/>
  <c r="H89" i="15" s="1"/>
  <c r="I88" i="15"/>
  <c r="I89" i="15" s="1"/>
  <c r="J88" i="15"/>
  <c r="J89" i="15" s="1"/>
  <c r="J112" i="14" l="1"/>
  <c r="I126" i="14" s="1"/>
  <c r="J127" i="14" s="1"/>
  <c r="D141" i="14" s="1"/>
  <c r="D142" i="14" s="1"/>
  <c r="G141" i="14" l="1"/>
  <c r="C135" i="14"/>
  <c r="H140" i="14" s="1"/>
  <c r="C141" i="14"/>
  <c r="C142" i="14" s="1"/>
  <c r="E141" i="14"/>
  <c r="E142" i="14" s="1"/>
  <c r="F141" i="14"/>
  <c r="F142" i="14" s="1"/>
  <c r="G142" i="14" l="1"/>
  <c r="B147" i="14" s="1"/>
  <c r="H141" i="14"/>
  <c r="H142" i="14" s="1"/>
  <c r="B150" i="14" s="1"/>
  <c r="B153" i="14" l="1"/>
  <c r="C155" i="14" s="1"/>
  <c r="C158" i="14" s="1"/>
  <c r="C160" i="14" s="1"/>
  <c r="B166" i="14" s="1"/>
  <c r="C162" i="14"/>
</calcChain>
</file>

<file path=xl/sharedStrings.xml><?xml version="1.0" encoding="utf-8"?>
<sst xmlns="http://schemas.openxmlformats.org/spreadsheetml/2006/main" count="872" uniqueCount="399">
  <si>
    <t xml:space="preserve"> </t>
  </si>
  <si>
    <t>Weighted Average Cost of Capital</t>
  </si>
  <si>
    <t xml:space="preserve">All figures are in INR unless stated otherwise </t>
  </si>
  <si>
    <t>Peer Comps</t>
  </si>
  <si>
    <t>Debt/</t>
  </si>
  <si>
    <t xml:space="preserve">Debt/ </t>
  </si>
  <si>
    <t>Levered</t>
  </si>
  <si>
    <t>Unlevered</t>
  </si>
  <si>
    <t>Name of the Comp</t>
  </si>
  <si>
    <t>Country</t>
  </si>
  <si>
    <t>Total Debt</t>
  </si>
  <si>
    <t>Total equity</t>
  </si>
  <si>
    <r>
      <t xml:space="preserve">Tax rate </t>
    </r>
    <r>
      <rPr>
        <vertAlign val="superscript"/>
        <sz val="11"/>
        <color theme="1"/>
        <rFont val="Calibri"/>
        <family val="2"/>
        <scheme val="minor"/>
      </rPr>
      <t>1</t>
    </r>
  </si>
  <si>
    <t>Equity</t>
  </si>
  <si>
    <t>Capital</t>
  </si>
  <si>
    <r>
      <t xml:space="preserve">Beta </t>
    </r>
    <r>
      <rPr>
        <vertAlign val="superscript"/>
        <sz val="11"/>
        <color theme="1"/>
        <rFont val="Calibri"/>
        <family val="2"/>
        <scheme val="minor"/>
      </rPr>
      <t>2</t>
    </r>
  </si>
  <si>
    <r>
      <t xml:space="preserve">Beta </t>
    </r>
    <r>
      <rPr>
        <vertAlign val="superscript"/>
        <sz val="11"/>
        <color theme="1"/>
        <rFont val="Calibri"/>
        <family val="2"/>
        <scheme val="minor"/>
      </rPr>
      <t>3</t>
    </r>
  </si>
  <si>
    <t xml:space="preserve">Trent Limited </t>
  </si>
  <si>
    <t>India</t>
  </si>
  <si>
    <t>Avenue Supermarkets (Dmart)</t>
  </si>
  <si>
    <t>Vishal Mega Mart</t>
  </si>
  <si>
    <t xml:space="preserve">Aditya Birla Lifestyle Brands </t>
  </si>
  <si>
    <t>Vedant Fashions (Manyavar)</t>
  </si>
  <si>
    <t>Average</t>
  </si>
  <si>
    <t>Median</t>
  </si>
  <si>
    <t xml:space="preserve">Cost of Debt </t>
  </si>
  <si>
    <t xml:space="preserve">Cost of Equity </t>
  </si>
  <si>
    <t>Pre-Tax Cost of Debt</t>
  </si>
  <si>
    <t>Tax rate</t>
  </si>
  <si>
    <t xml:space="preserve">Risk Free Rate </t>
  </si>
  <si>
    <t>Post Tax Cost of Debt</t>
  </si>
  <si>
    <t>Equity risk Premium</t>
  </si>
  <si>
    <r>
      <t xml:space="preserve">Levered Beta </t>
    </r>
    <r>
      <rPr>
        <vertAlign val="superscript"/>
        <sz val="11"/>
        <color theme="1"/>
        <rFont val="Calibri"/>
        <family val="2"/>
        <scheme val="minor"/>
      </rPr>
      <t>4</t>
    </r>
  </si>
  <si>
    <t>Cost of Equity</t>
  </si>
  <si>
    <t>Capital Structure</t>
  </si>
  <si>
    <t xml:space="preserve">Levered Beta </t>
  </si>
  <si>
    <t xml:space="preserve">Current </t>
  </si>
  <si>
    <t>Target</t>
  </si>
  <si>
    <t>Comps Median Unlevered Beta</t>
  </si>
  <si>
    <t xml:space="preserve">Total Debt </t>
  </si>
  <si>
    <t>Target Debt/ Equity</t>
  </si>
  <si>
    <t>Market Capitalization</t>
  </si>
  <si>
    <t>Total Capital</t>
  </si>
  <si>
    <t>Levered Beta</t>
  </si>
  <si>
    <t>Debt/Equity</t>
  </si>
  <si>
    <t>Notes:</t>
  </si>
  <si>
    <t>Total Cost</t>
  </si>
  <si>
    <t xml:space="preserve">Total Weight </t>
  </si>
  <si>
    <t>1. Tax Rate considered as Marginal Tax rate for the country.</t>
  </si>
  <si>
    <t>Debt</t>
  </si>
  <si>
    <t xml:space="preserve">2. Levered beta is based on 5 year monthly data </t>
  </si>
  <si>
    <t>3. Unlevered Beta = Levered beta/(1+(1-tax rate)*Debt/Equity)</t>
  </si>
  <si>
    <t>Weighted Average Cost Of capital</t>
  </si>
  <si>
    <t>4. Levered Beta = Unlevered beta*(1+(1-tax rate)*Debt/Equity)</t>
  </si>
  <si>
    <t xml:space="preserve">Regression Beta-2 Years weekly </t>
  </si>
  <si>
    <t>Avenue Supermarket Weekly Returns</t>
  </si>
  <si>
    <t>Date</t>
  </si>
  <si>
    <t>Closing Price</t>
  </si>
  <si>
    <t>Return</t>
  </si>
  <si>
    <t>NIFTY Returns</t>
  </si>
  <si>
    <t xml:space="preserve">Beta Drifting </t>
  </si>
  <si>
    <t>25-01-2026</t>
  </si>
  <si>
    <t>18-01-2026</t>
  </si>
  <si>
    <t>28-12-2025</t>
  </si>
  <si>
    <t>21-12-2025</t>
  </si>
  <si>
    <t>14-12-2025</t>
  </si>
  <si>
    <t>30-11-2025</t>
  </si>
  <si>
    <t>23-11-2025</t>
  </si>
  <si>
    <t>16-11-2025</t>
  </si>
  <si>
    <t>26-10-2025</t>
  </si>
  <si>
    <t>19-10-2025</t>
  </si>
  <si>
    <t>28-09-2025</t>
  </si>
  <si>
    <t>21-09-2025</t>
  </si>
  <si>
    <t>14-09-2025</t>
  </si>
  <si>
    <t>31-08-2025</t>
  </si>
  <si>
    <t>24-08-2025</t>
  </si>
  <si>
    <t>17-08-2025</t>
  </si>
  <si>
    <t>27-07-2025</t>
  </si>
  <si>
    <t>20-07-2025</t>
  </si>
  <si>
    <t>13-07-2025</t>
  </si>
  <si>
    <t>29-06-2025</t>
  </si>
  <si>
    <t>22-06-2025</t>
  </si>
  <si>
    <t>15-06-2025</t>
  </si>
  <si>
    <t>25-05-2025</t>
  </si>
  <si>
    <t>18-05-2025</t>
  </si>
  <si>
    <t>27-04-2025</t>
  </si>
  <si>
    <t>20-04-2025</t>
  </si>
  <si>
    <t>13-04-2025</t>
  </si>
  <si>
    <t>30-03-2025</t>
  </si>
  <si>
    <t>23-03-2025</t>
  </si>
  <si>
    <t>16-03-2025</t>
  </si>
  <si>
    <t>23-02-2025</t>
  </si>
  <si>
    <t>16-02-2025</t>
  </si>
  <si>
    <t>26-01-2025</t>
  </si>
  <si>
    <t>19-01-2025</t>
  </si>
  <si>
    <t>29-12-2024</t>
  </si>
  <si>
    <t>22-12-2024</t>
  </si>
  <si>
    <t>15-12-2024</t>
  </si>
  <si>
    <t>24-11-2024</t>
  </si>
  <si>
    <t>17-11-2024</t>
  </si>
  <si>
    <t>27-10-2024</t>
  </si>
  <si>
    <t>20-10-2024</t>
  </si>
  <si>
    <t>13-10-2024</t>
  </si>
  <si>
    <t>29-09-2024</t>
  </si>
  <si>
    <t>22-09-2024</t>
  </si>
  <si>
    <t>15-09-2024</t>
  </si>
  <si>
    <t>25-08-2024</t>
  </si>
  <si>
    <t>18-08-2024</t>
  </si>
  <si>
    <t>28-07-2024</t>
  </si>
  <si>
    <t>21-07-2024</t>
  </si>
  <si>
    <t>14-07-2024</t>
  </si>
  <si>
    <t>30-06-2024</t>
  </si>
  <si>
    <t>23-06-2024</t>
  </si>
  <si>
    <t>16-06-2024</t>
  </si>
  <si>
    <t>26-05-2024</t>
  </si>
  <si>
    <t>19-05-2024</t>
  </si>
  <si>
    <t>28-04-2024</t>
  </si>
  <si>
    <t>21-04-2024</t>
  </si>
  <si>
    <t>14-04-2024</t>
  </si>
  <si>
    <t>31-03-2024</t>
  </si>
  <si>
    <t>24-03-2024</t>
  </si>
  <si>
    <t>17-03-2024</t>
  </si>
  <si>
    <t>25-02-2024</t>
  </si>
  <si>
    <t>18-02-2024</t>
  </si>
  <si>
    <t xml:space="preserve">Beta 1 </t>
  </si>
  <si>
    <t>Beta 2</t>
  </si>
  <si>
    <t xml:space="preserve">Beta 3 </t>
  </si>
  <si>
    <t>Beta 3</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</si>
  <si>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</si>
  <si>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</si>
  <si>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</si>
  <si>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</si>
  <si>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</si>
  <si>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</si>
  <si>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</si>
  <si>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</si>
  <si>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</si>
  <si>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</si>
  <si>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</si>
  <si>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</si>
  <si>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</si>
  <si>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</si>
  <si>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</si>
  <si>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</si>
  <si>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</si>
  <si>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</si>
  <si>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</si>
  <si>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</si>
  <si>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</si>
  <si>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</si>
  <si>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</si>
  <si>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</si>
  <si>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</si>
  <si>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 xml:space="preserve">Levered Raw Beta </t>
  </si>
  <si>
    <t>Beta Weight</t>
  </si>
  <si>
    <t>Market Beta weight</t>
  </si>
  <si>
    <t>Market Beta</t>
  </si>
  <si>
    <t>Adjusted Beta</t>
  </si>
  <si>
    <t>S.No.</t>
  </si>
  <si>
    <t>Name</t>
  </si>
  <si>
    <t>CMP Rs.</t>
  </si>
  <si>
    <t xml:space="preserve">Mar Cap Rs.Cr. </t>
  </si>
  <si>
    <t>Debt Rs.Cr.</t>
  </si>
  <si>
    <t>Debt / Eq</t>
  </si>
  <si>
    <t>Avenue Super.</t>
  </si>
  <si>
    <t>Trent</t>
  </si>
  <si>
    <t>Vedant Fashions</t>
  </si>
  <si>
    <t>Aditya Bir. Fas.</t>
  </si>
  <si>
    <t>Year</t>
  </si>
  <si>
    <t>Equity Capital</t>
  </si>
  <si>
    <t>Reserves</t>
  </si>
  <si>
    <t>Long term Borrowings</t>
  </si>
  <si>
    <t>Short term Borrowings</t>
  </si>
  <si>
    <t>Lease Liabilities</t>
  </si>
  <si>
    <t>Other Borrowings</t>
  </si>
  <si>
    <t>Non controlling int</t>
  </si>
  <si>
    <t>Trade Payables</t>
  </si>
  <si>
    <t>Other liability items</t>
  </si>
  <si>
    <t>Total Liabilities</t>
  </si>
  <si>
    <t>Land</t>
  </si>
  <si>
    <t>Building</t>
  </si>
  <si>
    <t>Plant Machinery</t>
  </si>
  <si>
    <t>Equipments</t>
  </si>
  <si>
    <t>Computers</t>
  </si>
  <si>
    <t>Furniture n fittings</t>
  </si>
  <si>
    <t>Vehicles</t>
  </si>
  <si>
    <t>Intangible Assets</t>
  </si>
  <si>
    <t>Other fixed assets</t>
  </si>
  <si>
    <t>Gross Block</t>
  </si>
  <si>
    <t>Accumulated Depreciation</t>
  </si>
  <si>
    <t>CWIP</t>
  </si>
  <si>
    <t>Investments</t>
  </si>
  <si>
    <t>Inventories</t>
  </si>
  <si>
    <t>Trade receivables</t>
  </si>
  <si>
    <t>Cash Equivalents</t>
  </si>
  <si>
    <t>Loans n Advances</t>
  </si>
  <si>
    <t>Other asset items</t>
  </si>
  <si>
    <t>Total Assets</t>
  </si>
  <si>
    <t>Particulars</t>
  </si>
  <si>
    <r>
      <t>Borrowings </t>
    </r>
    <r>
      <rPr>
        <b/>
        <sz val="11"/>
        <color rgb="FF665EFD"/>
        <rFont val="Calibri"/>
        <family val="2"/>
        <scheme val="minor"/>
      </rPr>
      <t>-</t>
    </r>
  </si>
  <si>
    <r>
      <t>Fixed Assets </t>
    </r>
    <r>
      <rPr>
        <b/>
        <sz val="11"/>
        <color rgb="FF665EFD"/>
        <rFont val="Calibri"/>
        <family val="2"/>
        <scheme val="minor"/>
      </rPr>
      <t>-</t>
    </r>
  </si>
  <si>
    <r>
      <t>Other Assets </t>
    </r>
    <r>
      <rPr>
        <b/>
        <sz val="11"/>
        <color rgb="FF665EFD"/>
        <rFont val="Calibri"/>
        <family val="2"/>
        <scheme val="minor"/>
      </rPr>
      <t>-</t>
    </r>
  </si>
  <si>
    <t>Net Block</t>
  </si>
  <si>
    <t>Calculation of ROIC</t>
  </si>
  <si>
    <t xml:space="preserve">Current Assets </t>
  </si>
  <si>
    <t xml:space="preserve">Total Current Assets </t>
  </si>
  <si>
    <r>
      <t>Other Liabilities </t>
    </r>
    <r>
      <rPr>
        <b/>
        <sz val="11"/>
        <color rgb="FF665EFD"/>
        <rFont val="Calibri"/>
        <family val="2"/>
        <scheme val="minor"/>
      </rPr>
      <t>-</t>
    </r>
  </si>
  <si>
    <t>Total Current Liabilities</t>
  </si>
  <si>
    <t>Current Liabilities</t>
  </si>
  <si>
    <t>Net Working Capital</t>
  </si>
  <si>
    <t>#</t>
  </si>
  <si>
    <t xml:space="preserve">Non-Current Assets </t>
  </si>
  <si>
    <t>Net Non- Current Assets</t>
  </si>
  <si>
    <t>Invested Capital</t>
  </si>
  <si>
    <t>Trent limited</t>
  </si>
  <si>
    <t>Company Overview</t>
  </si>
  <si>
    <t xml:space="preserve"> Trent, part of the Tata Group, operates a variety of retail chains in India, including department </t>
  </si>
  <si>
    <t xml:space="preserve">stores, hypermarkets, supermarkets, and specialty stores. Trent operates under several brand </t>
  </si>
  <si>
    <t xml:space="preserve">names like Zudio, Westside, Zara, Massimo Dutti, and Utsa. The company serves customers </t>
  </si>
  <si>
    <t xml:space="preserve">through both physical stores and online platforms. </t>
  </si>
  <si>
    <t>Parameter</t>
  </si>
  <si>
    <t>Value</t>
  </si>
  <si>
    <t>Rationale</t>
  </si>
  <si>
    <t>Vauation Date</t>
  </si>
  <si>
    <t>Projection Period</t>
  </si>
  <si>
    <t>Revenue Growth%</t>
  </si>
  <si>
    <t>Economic Times highlights execution constraints to achieve 25% growth in the remaining quarter; revenue growth assumed at 18–22%.</t>
  </si>
  <si>
    <t>Annual Growth Tapering</t>
  </si>
  <si>
    <t xml:space="preserve">  </t>
  </si>
  <si>
    <t>Terminal Growth Rate</t>
  </si>
  <si>
    <t>Risk-free Rate (Rf)</t>
  </si>
  <si>
    <t>Equity Risk Premium(ERP)</t>
  </si>
  <si>
    <t xml:space="preserve">Tax Rate </t>
  </si>
  <si>
    <t>Financial Performance (₹ Crore)</t>
  </si>
  <si>
    <t>INCOME STATEMENT</t>
  </si>
  <si>
    <t>Sales</t>
  </si>
  <si>
    <t>CAGR</t>
  </si>
  <si>
    <t>% growth</t>
  </si>
  <si>
    <t>Cost of Goods Sold</t>
  </si>
  <si>
    <t>% of revenue</t>
  </si>
  <si>
    <t>Gross Profit</t>
  </si>
  <si>
    <t>% margin</t>
  </si>
  <si>
    <t>Operating Expenses</t>
  </si>
  <si>
    <t>EBITDA</t>
  </si>
  <si>
    <t>Depreciation</t>
  </si>
  <si>
    <t>EBIT</t>
  </si>
  <si>
    <t>Other Income</t>
  </si>
  <si>
    <t>Interest</t>
  </si>
  <si>
    <t>% of debt</t>
  </si>
  <si>
    <t>Profit before tax</t>
  </si>
  <si>
    <t>Tax</t>
  </si>
  <si>
    <t>% of PBT</t>
  </si>
  <si>
    <t>Net profit</t>
  </si>
  <si>
    <t>BALANCE SHEET</t>
  </si>
  <si>
    <t>Equity Share Capital</t>
  </si>
  <si>
    <t>Borrowings</t>
  </si>
  <si>
    <t>Other Liabilities</t>
  </si>
  <si>
    <t>Capital Work in Progress</t>
  </si>
  <si>
    <t>Receivables</t>
  </si>
  <si>
    <t>Inventory</t>
  </si>
  <si>
    <t>Cash &amp; Bank</t>
  </si>
  <si>
    <t>Other Assets</t>
  </si>
  <si>
    <t>Revenue Projections &amp; Growth Assumptions</t>
  </si>
  <si>
    <t>Revenue Growth %</t>
  </si>
  <si>
    <t>Revenue (in Crs.)</t>
  </si>
  <si>
    <t>Base Case</t>
  </si>
  <si>
    <t xml:space="preserve">Best Case </t>
  </si>
  <si>
    <t xml:space="preserve">Worst Case </t>
  </si>
  <si>
    <t>Free Cash Flow Projections (₹ Crores)</t>
  </si>
  <si>
    <t xml:space="preserve">Revenue </t>
  </si>
  <si>
    <t>EBITDA Margin %</t>
  </si>
  <si>
    <t>Less: Depreciation</t>
  </si>
  <si>
    <t>Less: Tax</t>
  </si>
  <si>
    <t>NOPAT</t>
  </si>
  <si>
    <t>Add: Depreciation</t>
  </si>
  <si>
    <t>Less: Reinvestment (Asssumption @50%)</t>
  </si>
  <si>
    <t>Free Cash Flow to the Firm</t>
  </si>
  <si>
    <t>ROIC</t>
  </si>
  <si>
    <t>Calculation of Reinvestment Rate</t>
  </si>
  <si>
    <t>Net Capex</t>
  </si>
  <si>
    <t>Profit from operations</t>
  </si>
  <si>
    <t>Payables</t>
  </si>
  <si>
    <t>Other WC items</t>
  </si>
  <si>
    <t>Working capital changes</t>
  </si>
  <si>
    <t>Interest paid</t>
  </si>
  <si>
    <t>Direct taxes</t>
  </si>
  <si>
    <t>Fixed assets purchased</t>
  </si>
  <si>
    <t>Fixed assets sold</t>
  </si>
  <si>
    <t>Investments purchased</t>
  </si>
  <si>
    <t>Investments sold</t>
  </si>
  <si>
    <t>Interest received</t>
  </si>
  <si>
    <t>Dividends received</t>
  </si>
  <si>
    <t>Redemp n Canc of Shares</t>
  </si>
  <si>
    <t>Acquisition of companies</t>
  </si>
  <si>
    <t>Other investing items</t>
  </si>
  <si>
    <t>Proceeds from shares</t>
  </si>
  <si>
    <t>Proceeds from borrowings</t>
  </si>
  <si>
    <t>Repayment of borrowings</t>
  </si>
  <si>
    <t>Interest paid fin</t>
  </si>
  <si>
    <t>Dividends paid</t>
  </si>
  <si>
    <t>Financial liabilities</t>
  </si>
  <si>
    <t>Share application money</t>
  </si>
  <si>
    <t>Application money refund</t>
  </si>
  <si>
    <t>Other financing items</t>
  </si>
  <si>
    <t>Net Cash Flow</t>
  </si>
  <si>
    <r>
      <t>Cash from Operating Activity </t>
    </r>
    <r>
      <rPr>
        <sz val="11"/>
        <color rgb="FF665EFD"/>
        <rFont val="Calibri"/>
        <family val="2"/>
        <scheme val="minor"/>
      </rPr>
      <t>-</t>
    </r>
  </si>
  <si>
    <r>
      <t>Cash from Investing Activity </t>
    </r>
    <r>
      <rPr>
        <sz val="11"/>
        <color rgb="FF665EFD"/>
        <rFont val="Calibri"/>
        <family val="2"/>
        <scheme val="minor"/>
      </rPr>
      <t>-</t>
    </r>
  </si>
  <si>
    <r>
      <t>Cash from Financing Activity </t>
    </r>
    <r>
      <rPr>
        <sz val="11"/>
        <color rgb="FF665EFD"/>
        <rFont val="Calibri"/>
        <family val="2"/>
        <scheme val="minor"/>
      </rPr>
      <t>-</t>
    </r>
  </si>
  <si>
    <t>Change in Working Capital</t>
  </si>
  <si>
    <t>Marginal Tax rate</t>
  </si>
  <si>
    <t>Reinvestment</t>
  </si>
  <si>
    <t>`</t>
  </si>
  <si>
    <t>EBIT(1-tax )</t>
  </si>
  <si>
    <t>Reinvestment Rate</t>
  </si>
  <si>
    <t>4 Year Average</t>
  </si>
  <si>
    <t>4 Year Median</t>
  </si>
  <si>
    <t>Calculation of Growth Rate</t>
  </si>
  <si>
    <t xml:space="preserve">Reinvestment Rate </t>
  </si>
  <si>
    <t>Intrinsic Growth</t>
  </si>
  <si>
    <t>Adjusted Equity Shares in Cr</t>
  </si>
  <si>
    <t>DERIVED:</t>
  </si>
  <si>
    <t>PRICE:</t>
  </si>
  <si>
    <t>Cash from Financing Activity</t>
  </si>
  <si>
    <t>Cash from Investing Activity</t>
  </si>
  <si>
    <t>Cash from Operating Activity</t>
  </si>
  <si>
    <t>Report Date</t>
  </si>
  <si>
    <t>CASH FLOW:</t>
  </si>
  <si>
    <t>Face value</t>
  </si>
  <si>
    <t>New Bonus Shares</t>
  </si>
  <si>
    <t>No. of Equity Shares</t>
  </si>
  <si>
    <t>Operating Profit</t>
  </si>
  <si>
    <t>Expenses</t>
  </si>
  <si>
    <t>Quarters</t>
  </si>
  <si>
    <t>Dividend Amount</t>
  </si>
  <si>
    <t>Other Expenses</t>
  </si>
  <si>
    <t>Selling and admin</t>
  </si>
  <si>
    <t>Employee Cost</t>
  </si>
  <si>
    <t>Other Mfr. Exp</t>
  </si>
  <si>
    <t>Power and Fuel</t>
  </si>
  <si>
    <t>Change in Inventory</t>
  </si>
  <si>
    <t>Raw Material Cost</t>
  </si>
  <si>
    <t>PROFIT &amp; LOSS</t>
  </si>
  <si>
    <t>Current Price</t>
  </si>
  <si>
    <t>Face Value</t>
  </si>
  <si>
    <t>Number of shares</t>
  </si>
  <si>
    <t>META</t>
  </si>
  <si>
    <t>CURRENT VERSION</t>
  </si>
  <si>
    <t>PLEASE DO NOT MAKE ANY CHANGES TO THIS SHEET</t>
  </si>
  <si>
    <t>LATEST VERSION</t>
  </si>
  <si>
    <t>TRENT LTD</t>
  </si>
  <si>
    <t>COMPANY NAME</t>
  </si>
  <si>
    <t>Terminal Value Calculation</t>
  </si>
  <si>
    <t>Terminal Year DCF(FY30)</t>
  </si>
  <si>
    <t>Terminal Growth rate(g)</t>
  </si>
  <si>
    <t>Terminal Value</t>
  </si>
  <si>
    <t>Terminal Value= FCF*(1+g)/(WACC-g)</t>
  </si>
  <si>
    <t>Terminal value</t>
  </si>
  <si>
    <t>10 year indian Government Bond yied</t>
  </si>
  <si>
    <t xml:space="preserve">equity risk premium </t>
  </si>
  <si>
    <t>Present Value Calculation</t>
  </si>
  <si>
    <t>FCF (₹ Cr)</t>
  </si>
  <si>
    <t>Discount Factor</t>
  </si>
  <si>
    <t>PV of FCF (₹ Cr.)</t>
  </si>
  <si>
    <t>DCF Valuation Summary</t>
  </si>
  <si>
    <t>Sum of PV of FCF (FY26-30)</t>
  </si>
  <si>
    <t>PV of Terminal Value</t>
  </si>
  <si>
    <t>Enterprise Value</t>
  </si>
  <si>
    <t>Less: Net Debt</t>
  </si>
  <si>
    <t>Add: Cash &amp; Investments</t>
  </si>
  <si>
    <t>Equity Value</t>
  </si>
  <si>
    <t>Shares Outstanding</t>
  </si>
  <si>
    <t>Fair Value per Share</t>
  </si>
  <si>
    <t>Current Market Price</t>
  </si>
  <si>
    <t>Upside/ Downside</t>
  </si>
  <si>
    <t xml:space="preserve">Senstivity Analysis </t>
  </si>
  <si>
    <t>Terminal Growth/ WACC</t>
  </si>
  <si>
    <t>Key Risk &amp; Consideration</t>
  </si>
  <si>
    <t>Conclusion &amp; Recommendation</t>
  </si>
  <si>
    <t>Upside Risks:</t>
  </si>
  <si>
    <t>Faster Zudio store expansion with healthy store productivity could keep revenue growth higher for longer than assumed in the model.</t>
  </si>
  <si>
    <t>Continued shift from unorganised to organised retail can support sustained market share gains and premium valuation.</t>
  </si>
  <si>
    <t>Scale benefits and higher private-label mix may lead to better-than-expected margins and cash flows.</t>
  </si>
  <si>
    <t>Strong brand acceptance in Tier-2 and Tier-3 cities could extend the current high-growth phase.</t>
  </si>
  <si>
    <t>Downside Risks</t>
  </si>
  <si>
    <t>Any slowdown in store additions or same-store sales growth could hurt earnings expectations, given the stock’s premium valuation.</t>
  </si>
  <si>
    <t>Execution risks from rapid expansion (location selection, inventory planning) may reduce returns and margins.</t>
  </si>
  <si>
    <t>Rising competition from fast-fashion brands and e-commerce discounting could pressure pricing power.</t>
  </si>
  <si>
    <t>Weakening discretionary demand due to macro uncertainty may impact footfalls, sales, and profitability.</t>
  </si>
  <si>
    <t>Based on our DCF Analysis, Trent Ltd's intrinsic value is estimated Rs. ₹1,377 per share, compared to the market price of Rs. 3,729 per share sugegsting that stock is trading at a significant premium of 171% to its fair value</t>
  </si>
  <si>
    <t>Key findings:</t>
  </si>
  <si>
    <t>The company has demonstrated excepional growth with revenue CAGR of 60% over FY21-25</t>
  </si>
  <si>
    <t>Healthy EBITDA Margin with margins expanding from 4% to 16.5%</t>
  </si>
  <si>
    <t>However, current valuation appears streched with PE of 85.7x of trailing earnings</t>
  </si>
  <si>
    <t>While Trent remains hih quality retail franchise with strong growth prospects, the current valuation leaves limited margin of safety for investors. The stock appears to be pricing in perfect execution over the next 5-7 years. Investors may consider:</t>
  </si>
  <si>
    <r>
      <rPr>
        <sz val="11"/>
        <color theme="0"/>
        <rFont val="Calibri"/>
        <family val="2"/>
        <scheme val="minor"/>
      </rPr>
      <t>`</t>
    </r>
    <r>
      <rPr>
        <sz val="11"/>
        <color theme="1"/>
        <rFont val="Calibri"/>
        <family val="2"/>
        <scheme val="minor"/>
      </rPr>
      <t>- Existing shareholders may hold trailing stop-losses.</t>
    </r>
  </si>
  <si>
    <r>
      <rPr>
        <sz val="11"/>
        <color theme="0"/>
        <rFont val="Calibri"/>
        <family val="2"/>
        <scheme val="minor"/>
      </rPr>
      <t>`</t>
    </r>
    <r>
      <rPr>
        <sz val="11"/>
        <color theme="1"/>
        <rFont val="Calibri"/>
        <family val="2"/>
        <scheme val="minor"/>
      </rPr>
      <t>- New Investor should wait for better entry points.</t>
    </r>
  </si>
  <si>
    <t>Consider partial profit booking if holding significant positions.</t>
  </si>
  <si>
    <r>
      <t xml:space="preserve">Investment Recommendation: </t>
    </r>
    <r>
      <rPr>
        <b/>
        <sz val="11"/>
        <color theme="7" tint="-0.499984740745262"/>
        <rFont val="Arial"/>
        <family val="2"/>
      </rPr>
      <t>HOLD/REDUCE</t>
    </r>
  </si>
  <si>
    <t>Conservative long- term growth considering india's GDP and retail sector potential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</si>
</sst>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_(* \(#,##0.00\);_(* &quot;-&quot;??_);_(@_)"/>
    <numFmt numFmtId="164" formatCode="#,##0.0"/>
    <numFmt numFmtId="165" formatCode="mm\-dd\-yyyy"/>
    <numFmt numFmtId="166" formatCode="0.0%"/>
    <numFmt numFmtId="167" formatCode="yyyy"/>
    <numFmt numFmtId="168" formatCode="#,##0;\(#,##0\);\-"/>
    <numFmt numFmtId="169" formatCode="#,##0.0;\(#,##0.0\);\-"/>
    <numFmt numFmtId="170" formatCode="#,##0.0_);\(#,##0.0\)"/>
    <numFmt numFmtId="171" formatCode="0\A"/>
    <numFmt numFmtId="172" formatCode="###,##0.0;\-###,##0.0"/>
    <numFmt numFmtId="173" formatCode="&quot;FY&quot;00&quot;E&quot;"/>
    <numFmt numFmtId="174" formatCode="###,##0;\-###,##0"/>
    <numFmt numFmtId="175" formatCode=";;;"/>
    <numFmt numFmtId="176" formatCode="_ * #,##0.00_ ;_ * \-#,##0.00_ ;_ * &quot;-&quot;??_ ;_ @_ "/>
    <numFmt numFmtId="177" formatCode="[$-409]mmm\-yy;@"/>
    <numFmt numFmtId="178" formatCode="###,##0.00;\-###,##0.00"/>
    <numFmt numFmtId="179" formatCode="0.00%;[Red]\ \-0.00%"/>
    <numFmt numFmtId="180" formatCode="&quot;₹&quot;0"/>
    <numFmt numFmtId="181" formatCode="[$₹-4009]\ #,##0"/>
  </numFmts>
  <fonts count="2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i/>
      <sz val="10"/>
      <color theme="1"/>
      <name val="Calibri"/>
      <family val="2"/>
      <scheme val="minor"/>
    </font>
    <font>
      <vertAlign val="superscript"/>
      <sz val="11"/>
      <color theme="1"/>
      <name val="Calibri"/>
      <family val="2"/>
      <scheme val="minor"/>
    </font>
    <font>
      <sz val="11"/>
      <color rgb="FF0066FF"/>
      <name val="Calibri"/>
      <family val="2"/>
      <scheme val="minor"/>
    </font>
    <font>
      <i/>
      <sz val="9"/>
      <color theme="1"/>
      <name val="Calibri"/>
      <family val="2"/>
      <scheme val="minor"/>
    </font>
    <font>
      <i/>
      <sz val="11"/>
      <color theme="1"/>
      <name val="Calibri"/>
      <family val="2"/>
      <scheme val="minor"/>
    </font>
    <font>
      <sz val="11"/>
      <color rgb="FF22222F"/>
      <name val="Calibri"/>
      <family val="2"/>
      <scheme val="minor"/>
    </font>
    <font>
      <sz val="11"/>
      <color rgb="FF22222F"/>
      <name val="Calibri"/>
      <family val="2"/>
      <scheme val="minor"/>
    </font>
    <font>
      <sz val="11"/>
      <color rgb="FF665EFD"/>
      <name val="Calibri"/>
      <family val="2"/>
      <scheme val="minor"/>
    </font>
    <font>
      <b/>
      <sz val="11"/>
      <color rgb="FF665EFD"/>
      <name val="Calibri"/>
      <family val="2"/>
      <scheme val="minor"/>
    </font>
    <font>
      <sz val="11"/>
      <name val="Calibri"/>
      <family val="2"/>
      <scheme val="minor"/>
    </font>
    <font>
      <b/>
      <i/>
      <sz val="11"/>
      <color theme="1"/>
      <name val="Calibri"/>
      <family val="2"/>
      <scheme val="minor"/>
    </font>
    <font>
      <u/>
      <sz val="11"/>
      <color theme="10"/>
      <name val="Calibri"/>
      <family val="2"/>
      <scheme val="minor"/>
    </font>
    <font>
      <sz val="9"/>
      <color rgb="FF000000"/>
      <name val="Verdana"/>
      <family val="2"/>
    </font>
    <font>
      <b/>
      <sz val="11"/>
      <color theme="0"/>
      <name val="Arial"/>
      <family val="2"/>
    </font>
    <font>
      <b/>
      <sz val="11"/>
      <color theme="7" tint="-0.249977111117893"/>
      <name val="Arial"/>
      <family val="2"/>
    </font>
    <font>
      <i/>
      <sz val="11"/>
      <color theme="2" tint="-0.499984740745262"/>
      <name val="Calibri"/>
      <family val="2"/>
      <scheme val="minor"/>
    </font>
    <font>
      <sz val="11"/>
      <color theme="2" tint="-0.499984740745262"/>
      <name val="Calibri"/>
      <family val="2"/>
      <scheme val="minor"/>
    </font>
    <font>
      <u/>
      <sz val="11"/>
      <color theme="10"/>
      <name val="Calibri"/>
      <family val="2"/>
    </font>
    <font>
      <b/>
      <sz val="9"/>
      <color theme="0"/>
      <name val="Calibri"/>
      <family val="2"/>
      <scheme val="minor"/>
    </font>
    <font>
      <sz val="11"/>
      <color theme="1"/>
      <name val="Arial"/>
      <family val="2"/>
    </font>
    <font>
      <b/>
      <sz val="11"/>
      <color theme="7" tint="-0.499984740745262"/>
      <name val="Arial"/>
      <family val="2"/>
    </font>
  </fonts>
  <fills count="14">
    <fill>
      <patternFill patternType="none"/>
    </fill>
    <fill>
      <patternFill patternType="gray125"/>
    </fill>
    <fill>
      <patternFill patternType="solid">
        <fgColor theme="9"/>
      </patternFill>
    </fill>
    <fill>
      <patternFill patternType="solid">
        <fgColor theme="7" tint="-0.249977111117893"/>
        <bgColor indexed="64"/>
      </patternFill>
    </fill>
    <fill>
      <patternFill patternType="solid">
        <fgColor theme="0" tint="-4.9989318521683403E-2"/>
        <bgColor indexed="64"/>
      </patternFill>
    </fill>
    <fill>
      <patternFill patternType="solid">
        <fgColor rgb="FFE6AA00"/>
        <bgColor indexed="64"/>
      </patternFill>
    </fill>
    <fill>
      <patternFill patternType="solid">
        <fgColor rgb="FFECDDB6"/>
        <bgColor indexed="64"/>
      </patternFill>
    </fill>
    <fill>
      <patternFill patternType="solid">
        <fgColor theme="7" tint="0.79998168889431442"/>
        <bgColor indexed="64"/>
      </patternFill>
    </fill>
    <fill>
      <patternFill patternType="solid">
        <fgColor theme="0"/>
        <bgColor indexed="64"/>
      </patternFill>
    </fill>
    <fill>
      <patternFill patternType="solid">
        <fgColor theme="7" tint="0.59999389629810485"/>
        <bgColor indexed="64"/>
      </patternFill>
    </fill>
    <fill>
      <patternFill patternType="solid">
        <fgColor rgb="FFE3CC91"/>
        <bgColor indexed="64"/>
      </patternFill>
    </fill>
    <fill>
      <patternFill patternType="solid">
        <fgColor theme="0" tint="-0.14999847407452621"/>
        <bgColor indexed="64"/>
      </patternFill>
    </fill>
    <fill>
      <patternFill patternType="solid">
        <fgColor rgb="FF0275D8"/>
        <bgColor indexed="64"/>
      </patternFill>
    </fill>
    <fill>
      <patternFill patternType="solid">
        <fgColor theme="7" tint="-0.24994659260841701"/>
        <bgColor indexed="64"/>
      </patternFill>
    </fill>
  </fills>
  <borders count="14">
    <border>
      <left/>
      <right/>
      <top/>
      <bottom/>
      <diagonal/>
    </border>
    <border>
      <left/>
      <right/>
      <top style="thin">
        <color indexed="64"/>
      </top>
      <bottom/>
      <diagonal/>
    </border>
    <border>
      <left/>
      <right/>
      <top/>
      <bottom style="thin">
        <color indexed="64"/>
      </bottom>
      <diagonal/>
    </border>
    <border>
      <left/>
      <right/>
      <top style="hair">
        <color theme="2" tint="-0.499984740745262"/>
      </top>
      <bottom/>
      <diagonal/>
    </border>
    <border>
      <left/>
      <right/>
      <top/>
      <bottom style="thin">
        <color theme="7" tint="-0.24994659260841701"/>
      </bottom>
      <diagonal/>
    </border>
    <border>
      <left/>
      <right/>
      <top/>
      <bottom style="medium">
        <color indexed="64"/>
      </bottom>
      <diagonal/>
    </border>
    <border>
      <left/>
      <right/>
      <top style="medium">
        <color indexed="64"/>
      </top>
      <bottom style="thin">
        <color indexed="64"/>
      </bottom>
      <diagonal/>
    </border>
    <border>
      <left/>
      <right/>
      <top style="hair">
        <color theme="2" tint="-0.499984740745262"/>
      </top>
      <bottom style="hair">
        <color theme="2" tint="-0.499984740745262"/>
      </bottom>
      <diagonal/>
    </border>
    <border>
      <left/>
      <right/>
      <top style="hair">
        <color auto="1"/>
      </top>
      <bottom style="hair">
        <color auto="1"/>
      </bottom>
      <diagonal/>
    </border>
    <border>
      <left/>
      <right/>
      <top style="thin">
        <color theme="3"/>
      </top>
      <bottom/>
      <diagonal/>
    </border>
    <border>
      <left/>
      <right/>
      <top style="hair">
        <color auto="1"/>
      </top>
      <bottom/>
      <diagonal/>
    </border>
    <border>
      <left/>
      <right/>
      <top style="thin">
        <color indexed="64"/>
      </top>
      <bottom style="medium">
        <color indexed="64"/>
      </bottom>
      <diagonal/>
    </border>
    <border>
      <left style="thin">
        <color theme="7" tint="-0.24994659260841701"/>
      </left>
      <right style="thin">
        <color theme="7" tint="-0.24994659260841701"/>
      </right>
      <top style="thin">
        <color theme="7" tint="-0.24994659260841701"/>
      </top>
      <bottom style="thin">
        <color theme="7" tint="-0.24994659260841701"/>
      </bottom>
      <diagonal/>
    </border>
    <border>
      <left style="medium">
        <color theme="0"/>
      </left>
      <right style="medium">
        <color theme="0"/>
      </right>
      <top style="medium">
        <color theme="0"/>
      </top>
      <bottom style="medium">
        <color theme="0"/>
      </bottom>
      <diagonal/>
    </border>
  </borders>
  <cellStyleXfs count="6">
    <xf numFmtId="0" fontId="0" fillId="0" borderId="0"/>
    <xf numFmtId="9" fontId="1" fillId="0" borderId="0" applyFont="0" applyFill="0" applyBorder="0" applyAlignment="0" applyProtection="0"/>
    <xf numFmtId="0" fontId="4" fillId="2" borderId="0" applyNumberFormat="0" applyBorder="0" applyAlignment="0" applyProtection="0"/>
    <xf numFmtId="0" fontId="16" fillId="0" borderId="0" applyNumberFormat="0" applyFill="0" applyBorder="0" applyAlignment="0" applyProtection="0"/>
    <xf numFmtId="176" fontId="1" fillId="0" borderId="0" applyFont="0" applyFill="0" applyBorder="0" applyAlignment="0" applyProtection="0"/>
    <xf numFmtId="0" fontId="22" fillId="0" borderId="0" applyNumberFormat="0" applyFill="0" applyBorder="0" applyAlignment="0" applyProtection="0">
      <alignment vertical="top"/>
      <protection locked="0"/>
    </xf>
  </cellStyleXfs>
  <cellXfs count="141">
    <xf numFmtId="0" fontId="0" fillId="0" borderId="0" xfId="0"/>
    <xf numFmtId="0" fontId="0" fillId="3" borderId="0" xfId="0" applyFill="1"/>
    <xf numFmtId="0" fontId="5" fillId="0" borderId="0" xfId="0" applyFont="1"/>
    <xf numFmtId="0" fontId="0" fillId="0" borderId="2" xfId="0" applyBorder="1"/>
    <xf numFmtId="164" fontId="7" fillId="0" borderId="0" xfId="0" applyNumberFormat="1" applyFont="1"/>
    <xf numFmtId="10" fontId="0" fillId="0" borderId="0" xfId="1" applyNumberFormat="1" applyFont="1" applyBorder="1"/>
    <xf numFmtId="10" fontId="0" fillId="4" borderId="0" xfId="1" applyNumberFormat="1" applyFont="1" applyFill="1" applyBorder="1"/>
    <xf numFmtId="2" fontId="7" fillId="0" borderId="0" xfId="0" applyNumberFormat="1" applyFont="1"/>
    <xf numFmtId="2" fontId="0" fillId="4" borderId="0" xfId="0" applyNumberFormat="1" applyFill="1"/>
    <xf numFmtId="0" fontId="3" fillId="0" borderId="1" xfId="0" applyFont="1" applyBorder="1"/>
    <xf numFmtId="10" fontId="0" fillId="0" borderId="1" xfId="0" applyNumberFormat="1" applyBorder="1"/>
    <xf numFmtId="10" fontId="0" fillId="0" borderId="1" xfId="1" applyNumberFormat="1" applyFont="1" applyBorder="1"/>
    <xf numFmtId="2" fontId="0" fillId="0" borderId="1" xfId="0" applyNumberFormat="1" applyBorder="1"/>
    <xf numFmtId="0" fontId="3" fillId="0" borderId="2" xfId="0" applyFont="1" applyBorder="1"/>
    <xf numFmtId="10" fontId="0" fillId="0" borderId="2" xfId="0" applyNumberFormat="1" applyBorder="1"/>
    <xf numFmtId="10" fontId="0" fillId="0" borderId="2" xfId="1" applyNumberFormat="1" applyFont="1" applyBorder="1"/>
    <xf numFmtId="2" fontId="0" fillId="0" borderId="2" xfId="0" applyNumberFormat="1" applyBorder="1"/>
    <xf numFmtId="10" fontId="7" fillId="0" borderId="0" xfId="0" applyNumberFormat="1" applyFont="1"/>
    <xf numFmtId="0" fontId="0" fillId="0" borderId="3" xfId="0" applyBorder="1"/>
    <xf numFmtId="10" fontId="0" fillId="4" borderId="3" xfId="0" applyNumberFormat="1" applyFill="1" applyBorder="1"/>
    <xf numFmtId="2" fontId="0" fillId="0" borderId="0" xfId="0" applyNumberFormat="1"/>
    <xf numFmtId="0" fontId="3" fillId="0" borderId="2" xfId="0" applyFont="1" applyBorder="1" applyAlignment="1">
      <alignment horizontal="left"/>
    </xf>
    <xf numFmtId="10" fontId="0" fillId="0" borderId="0" xfId="0" applyNumberFormat="1"/>
    <xf numFmtId="164" fontId="0" fillId="0" borderId="3" xfId="0" applyNumberFormat="1" applyBorder="1"/>
    <xf numFmtId="9" fontId="0" fillId="0" borderId="3" xfId="1" applyFont="1" applyBorder="1"/>
    <xf numFmtId="9" fontId="0" fillId="0" borderId="3" xfId="0" applyNumberFormat="1" applyBorder="1"/>
    <xf numFmtId="2" fontId="0" fillId="4" borderId="3" xfId="0" applyNumberFormat="1" applyFill="1" applyBorder="1"/>
    <xf numFmtId="10" fontId="0" fillId="4" borderId="0" xfId="0" applyNumberFormat="1" applyFill="1"/>
    <xf numFmtId="0" fontId="8" fillId="0" borderId="0" xfId="0" applyFont="1"/>
    <xf numFmtId="0" fontId="8" fillId="0" borderId="0" xfId="0" applyFont="1" applyAlignment="1">
      <alignment vertical="top"/>
    </xf>
    <xf numFmtId="10" fontId="0" fillId="0" borderId="3" xfId="1" applyNumberFormat="1" applyFont="1" applyBorder="1"/>
    <xf numFmtId="0" fontId="3" fillId="0" borderId="0" xfId="0" applyFont="1"/>
    <xf numFmtId="0" fontId="0" fillId="0" borderId="0" xfId="0" applyAlignment="1">
      <alignment horizontal="center"/>
    </xf>
    <xf numFmtId="0" fontId="3" fillId="0" borderId="4" xfId="0" applyFont="1" applyBorder="1"/>
    <xf numFmtId="4" fontId="0" fillId="0" borderId="0" xfId="0" applyNumberFormat="1"/>
    <xf numFmtId="4" fontId="0" fillId="0" borderId="0" xfId="0" applyNumberFormat="1" applyAlignment="1">
      <alignment horizontal="right" vertical="center"/>
    </xf>
    <xf numFmtId="165" fontId="0" fillId="0" borderId="0" xfId="0" applyNumberFormat="1" applyAlignment="1">
      <alignment horizontal="right" vertical="center"/>
    </xf>
    <xf numFmtId="9" fontId="0" fillId="0" borderId="0" xfId="1" applyFont="1"/>
    <xf numFmtId="10" fontId="0" fillId="0" borderId="0" xfId="1" applyNumberFormat="1" applyFont="1"/>
    <xf numFmtId="0" fontId="0" fillId="0" borderId="5" xfId="0" applyBorder="1"/>
    <xf numFmtId="0" fontId="9" fillId="0" borderId="6" xfId="0" applyFont="1" applyBorder="1" applyAlignment="1">
      <alignment horizontal="center"/>
    </xf>
    <xf numFmtId="0" fontId="9" fillId="0" borderId="6" xfId="0" applyFont="1" applyBorder="1" applyAlignment="1">
      <alignment horizontal="centerContinuous"/>
    </xf>
    <xf numFmtId="9" fontId="0" fillId="0" borderId="0" xfId="0" applyNumberFormat="1"/>
    <xf numFmtId="0" fontId="0" fillId="4" borderId="0" xfId="0" applyFill="1"/>
    <xf numFmtId="2" fontId="3" fillId="0" borderId="0" xfId="0" applyNumberFormat="1" applyFont="1"/>
    <xf numFmtId="0" fontId="2" fillId="3" borderId="0" xfId="0" applyFont="1" applyFill="1"/>
    <xf numFmtId="0" fontId="4" fillId="3" borderId="0" xfId="0" applyFont="1" applyFill="1"/>
    <xf numFmtId="167" fontId="2" fillId="3" borderId="0" xfId="0" applyNumberFormat="1" applyFont="1" applyFill="1" applyAlignment="1">
      <alignment horizontal="right" vertical="center" wrapText="1" indent="1"/>
    </xf>
    <xf numFmtId="168" fontId="0" fillId="0" borderId="0" xfId="0" applyNumberFormat="1"/>
    <xf numFmtId="169" fontId="0" fillId="0" borderId="7" xfId="0" applyNumberFormat="1" applyBorder="1"/>
    <xf numFmtId="169" fontId="0" fillId="0" borderId="0" xfId="0" applyNumberFormat="1"/>
    <xf numFmtId="169" fontId="0" fillId="0" borderId="8" xfId="0" applyNumberFormat="1" applyBorder="1"/>
    <xf numFmtId="169" fontId="3" fillId="0" borderId="0" xfId="0" applyNumberFormat="1" applyFont="1"/>
    <xf numFmtId="0" fontId="3" fillId="0" borderId="9" xfId="0" applyFont="1" applyBorder="1"/>
    <xf numFmtId="169" fontId="0" fillId="0" borderId="9" xfId="0" applyNumberFormat="1" applyBorder="1"/>
    <xf numFmtId="0" fontId="3" fillId="0" borderId="8" xfId="0" applyFont="1" applyBorder="1"/>
    <xf numFmtId="169" fontId="0" fillId="0" borderId="10" xfId="0" applyNumberFormat="1" applyBorder="1"/>
    <xf numFmtId="0" fontId="3" fillId="0" borderId="11" xfId="0" applyFont="1" applyBorder="1"/>
    <xf numFmtId="168" fontId="3" fillId="0" borderId="11" xfId="0" applyNumberFormat="1" applyFont="1" applyBorder="1"/>
    <xf numFmtId="169" fontId="3" fillId="0" borderId="11" xfId="0" applyNumberFormat="1" applyFont="1" applyBorder="1"/>
    <xf numFmtId="169" fontId="3" fillId="0" borderId="1" xfId="0" applyNumberFormat="1" applyFont="1" applyBorder="1"/>
    <xf numFmtId="0" fontId="0" fillId="0" borderId="8" xfId="0" applyBorder="1"/>
    <xf numFmtId="170" fontId="3" fillId="0" borderId="11" xfId="0" applyNumberFormat="1" applyFont="1" applyBorder="1"/>
    <xf numFmtId="0" fontId="14" fillId="0" borderId="0" xfId="0" applyFont="1"/>
    <xf numFmtId="0" fontId="15" fillId="0" borderId="0" xfId="0" applyFont="1"/>
    <xf numFmtId="0" fontId="17" fillId="0" borderId="0" xfId="0" applyFont="1"/>
    <xf numFmtId="0" fontId="18" fillId="3" borderId="0" xfId="0" applyFont="1" applyFill="1"/>
    <xf numFmtId="0" fontId="16" fillId="0" borderId="0" xfId="3" applyAlignment="1">
      <alignment vertical="center"/>
    </xf>
    <xf numFmtId="0" fontId="16" fillId="0" borderId="0" xfId="3"/>
    <xf numFmtId="0" fontId="18" fillId="5" borderId="0" xfId="0" applyFont="1" applyFill="1"/>
    <xf numFmtId="171" fontId="18" fillId="5" borderId="0" xfId="0" applyNumberFormat="1" applyFont="1" applyFill="1"/>
    <xf numFmtId="0" fontId="0" fillId="0" borderId="0" xfId="0" applyAlignment="1">
      <alignment vertical="center"/>
    </xf>
    <xf numFmtId="9" fontId="0" fillId="0" borderId="0" xfId="0" applyNumberFormat="1" applyAlignment="1">
      <alignment horizontal="right" vertical="center"/>
    </xf>
    <xf numFmtId="0" fontId="0" fillId="0" borderId="0" xfId="0" applyAlignment="1">
      <alignment wrapText="1"/>
    </xf>
    <xf numFmtId="0" fontId="19" fillId="0" borderId="0" xfId="0" applyFont="1"/>
    <xf numFmtId="172" fontId="0" fillId="0" borderId="0" xfId="0" applyNumberFormat="1"/>
    <xf numFmtId="0" fontId="20" fillId="0" borderId="0" xfId="0" applyFont="1"/>
    <xf numFmtId="0" fontId="21" fillId="0" borderId="0" xfId="0" applyFont="1"/>
    <xf numFmtId="166" fontId="20" fillId="0" borderId="0" xfId="1" applyNumberFormat="1" applyFont="1"/>
    <xf numFmtId="0" fontId="3" fillId="6" borderId="0" xfId="0" applyFont="1" applyFill="1"/>
    <xf numFmtId="172" fontId="3" fillId="6" borderId="0" xfId="0" applyNumberFormat="1" applyFont="1" applyFill="1"/>
    <xf numFmtId="0" fontId="20" fillId="6" borderId="0" xfId="0" applyFont="1" applyFill="1"/>
    <xf numFmtId="166" fontId="20" fillId="6" borderId="0" xfId="1" applyNumberFormat="1" applyFont="1" applyFill="1"/>
    <xf numFmtId="9" fontId="3" fillId="8" borderId="0" xfId="0" applyNumberFormat="1" applyFont="1" applyFill="1"/>
    <xf numFmtId="0" fontId="0" fillId="0" borderId="0" xfId="0" applyAlignment="1">
      <alignment horizontal="center" wrapText="1"/>
    </xf>
    <xf numFmtId="0" fontId="3" fillId="6" borderId="0" xfId="0" applyFont="1" applyFill="1" applyAlignment="1">
      <alignment wrapText="1"/>
    </xf>
    <xf numFmtId="173" fontId="18" fillId="5" borderId="0" xfId="0" applyNumberFormat="1" applyFont="1" applyFill="1"/>
    <xf numFmtId="174" fontId="0" fillId="0" borderId="0" xfId="0" applyNumberFormat="1"/>
    <xf numFmtId="0" fontId="0" fillId="9" borderId="12" xfId="0" applyFill="1" applyBorder="1"/>
    <xf numFmtId="175" fontId="0" fillId="0" borderId="0" xfId="0" applyNumberFormat="1"/>
    <xf numFmtId="166" fontId="0" fillId="0" borderId="0" xfId="0" applyNumberFormat="1"/>
    <xf numFmtId="38" fontId="0" fillId="0" borderId="0" xfId="0" applyNumberFormat="1"/>
    <xf numFmtId="0" fontId="0" fillId="10" borderId="0" xfId="0" applyFill="1"/>
    <xf numFmtId="174" fontId="0" fillId="10" borderId="0" xfId="0" applyNumberFormat="1" applyFill="1"/>
    <xf numFmtId="10" fontId="3" fillId="0" borderId="11" xfId="1" applyNumberFormat="1" applyFont="1" applyBorder="1"/>
    <xf numFmtId="0" fontId="11" fillId="0" borderId="0" xfId="0" applyFont="1" applyAlignment="1">
      <alignment horizontal="left" vertical="center"/>
    </xf>
    <xf numFmtId="0" fontId="10" fillId="0" borderId="0" xfId="0" applyFont="1" applyAlignment="1">
      <alignment horizontal="left" vertical="center"/>
    </xf>
    <xf numFmtId="0" fontId="11" fillId="0" borderId="0" xfId="0" applyFont="1" applyAlignment="1">
      <alignment vertical="center"/>
    </xf>
    <xf numFmtId="10" fontId="3" fillId="0" borderId="0" xfId="1" applyNumberFormat="1" applyFont="1" applyBorder="1"/>
    <xf numFmtId="10" fontId="7" fillId="0" borderId="8" xfId="0" applyNumberFormat="1" applyFont="1" applyBorder="1"/>
    <xf numFmtId="0" fontId="3" fillId="11" borderId="0" xfId="0" applyFont="1" applyFill="1"/>
    <xf numFmtId="10" fontId="3" fillId="11" borderId="0" xfId="1" applyNumberFormat="1" applyFont="1" applyFill="1" applyBorder="1"/>
    <xf numFmtId="10" fontId="0" fillId="0" borderId="8" xfId="0" applyNumberFormat="1" applyBorder="1"/>
    <xf numFmtId="10" fontId="3" fillId="0" borderId="11" xfId="0" applyNumberFormat="1" applyFont="1" applyBorder="1"/>
    <xf numFmtId="176" fontId="0" fillId="0" borderId="0" xfId="4" applyFont="1" applyBorder="1"/>
    <xf numFmtId="43" fontId="0" fillId="0" borderId="0" xfId="4" applyNumberFormat="1" applyFont="1" applyBorder="1"/>
    <xf numFmtId="176" fontId="3" fillId="0" borderId="0" xfId="4" applyFont="1" applyBorder="1"/>
    <xf numFmtId="176" fontId="1" fillId="0" borderId="0" xfId="4" applyFont="1" applyBorder="1"/>
    <xf numFmtId="177" fontId="14" fillId="0" borderId="0" xfId="4" applyNumberFormat="1" applyFont="1" applyFill="1" applyBorder="1"/>
    <xf numFmtId="177" fontId="2" fillId="12" borderId="0" xfId="0" applyNumberFormat="1" applyFont="1" applyFill="1" applyAlignment="1">
      <alignment horizontal="center"/>
    </xf>
    <xf numFmtId="177" fontId="2" fillId="12" borderId="0" xfId="4" applyNumberFormat="1" applyFont="1" applyFill="1" applyBorder="1"/>
    <xf numFmtId="39" fontId="0" fillId="0" borderId="0" xfId="0" applyNumberFormat="1"/>
    <xf numFmtId="10" fontId="3" fillId="0" borderId="0" xfId="1" applyNumberFormat="1" applyFont="1" applyFill="1" applyBorder="1"/>
    <xf numFmtId="10" fontId="14" fillId="0" borderId="0" xfId="1" applyNumberFormat="1" applyFont="1" applyBorder="1"/>
    <xf numFmtId="178" fontId="3" fillId="0" borderId="0" xfId="0" applyNumberFormat="1" applyFont="1"/>
    <xf numFmtId="0" fontId="3" fillId="0" borderId="0" xfId="0" applyFont="1" applyAlignment="1">
      <alignment horizontal="center"/>
    </xf>
    <xf numFmtId="174" fontId="0" fillId="0" borderId="0" xfId="0" applyNumberFormat="1" applyAlignment="1">
      <alignment horizontal="center"/>
    </xf>
    <xf numFmtId="0" fontId="3" fillId="7" borderId="0" xfId="0" applyFont="1" applyFill="1"/>
    <xf numFmtId="174" fontId="3" fillId="7" borderId="0" xfId="0" applyNumberFormat="1" applyFont="1" applyFill="1"/>
    <xf numFmtId="179" fontId="0" fillId="0" borderId="0" xfId="1" applyNumberFormat="1" applyFont="1"/>
    <xf numFmtId="0" fontId="23" fillId="13" borderId="13" xfId="0" applyFont="1" applyFill="1" applyBorder="1" applyAlignment="1">
      <alignment vertical="center"/>
    </xf>
    <xf numFmtId="10" fontId="0" fillId="0" borderId="0" xfId="0" applyNumberFormat="1" applyAlignment="1">
      <alignment horizontal="left"/>
    </xf>
    <xf numFmtId="10" fontId="2" fillId="3" borderId="0" xfId="0" applyNumberFormat="1" applyFont="1" applyFill="1"/>
    <xf numFmtId="164" fontId="0" fillId="0" borderId="0" xfId="0" applyNumberFormat="1"/>
    <xf numFmtId="180" fontId="0" fillId="0" borderId="0" xfId="0" applyNumberFormat="1"/>
    <xf numFmtId="180" fontId="3" fillId="0" borderId="0" xfId="0" applyNumberFormat="1" applyFont="1" applyAlignment="1">
      <alignment horizontal="right"/>
    </xf>
    <xf numFmtId="0" fontId="24" fillId="3" borderId="0" xfId="0" applyFont="1" applyFill="1"/>
    <xf numFmtId="0" fontId="24" fillId="0" borderId="0" xfId="0" applyFont="1"/>
    <xf numFmtId="181" fontId="0" fillId="0" borderId="0" xfId="0" applyNumberFormat="1"/>
    <xf numFmtId="181" fontId="0" fillId="4" borderId="0" xfId="0" applyNumberFormat="1" applyFill="1"/>
    <xf numFmtId="0" fontId="0" fillId="4" borderId="0" xfId="0" applyFill="1" applyAlignment="1">
      <alignment horizontal="right"/>
    </xf>
    <xf numFmtId="166" fontId="0" fillId="4" borderId="0" xfId="1" applyNumberFormat="1" applyFont="1" applyFill="1"/>
    <xf numFmtId="9" fontId="0" fillId="0" borderId="0" xfId="0" applyNumberFormat="1" applyAlignment="1">
      <alignment vertical="center"/>
    </xf>
    <xf numFmtId="10" fontId="1" fillId="0" borderId="0" xfId="1" applyNumberFormat="1" applyFont="1" applyBorder="1"/>
    <xf numFmtId="0" fontId="0" fillId="0" borderId="0" xfId="0" applyAlignment="1">
      <alignment vertical="center" wrapText="1"/>
    </xf>
    <xf numFmtId="0" fontId="0" fillId="0" borderId="0" xfId="0" applyAlignment="1">
      <alignment wrapText="1"/>
    </xf>
    <xf numFmtId="171" fontId="18" fillId="5" borderId="0" xfId="0" applyNumberFormat="1" applyFont="1" applyFill="1"/>
    <xf numFmtId="0" fontId="0" fillId="0" borderId="0" xfId="0" applyAlignment="1">
      <alignment horizontal="left" wrapText="1"/>
    </xf>
    <xf numFmtId="176" fontId="22" fillId="0" borderId="0" xfId="5" applyNumberFormat="1" applyBorder="1" applyAlignment="1" applyProtection="1">
      <alignment horizontal="center"/>
    </xf>
    <xf numFmtId="176" fontId="2" fillId="2" borderId="0" xfId="2" applyNumberFormat="1" applyFont="1" applyBorder="1" applyAlignment="1">
      <alignment horizontal="center"/>
    </xf>
    <xf numFmtId="0" fontId="2" fillId="3" borderId="0" xfId="0" applyFont="1" applyFill="1" applyAlignment="1">
      <alignment horizontal="center"/>
    </xf>
  </cellXfs>
  <cellStyles count="6">
    <cellStyle name="Accent6" xfId="2" builtinId="49"/>
    <cellStyle name="Comma 2" xfId="4" xr:uid="{77685CC8-D23A-4D62-9EE4-D1834DD53AE5}"/>
    <cellStyle name="Hyperlink" xfId="3" builtinId="8"/>
    <cellStyle name="Hyperlink 2" xfId="5" xr:uid="{005BABC6-9214-4AD9-8071-88165142578E}"/>
    <cellStyle name="Normal" xfId="0" builtinId="0"/>
    <cellStyle name="Percent" xfId="1" builtinId="5"/>
  </cellStyles>
  <dxfs count="1">
    <dxf>
      <font>
        <b/>
        <i val="0"/>
        <color theme="0"/>
      </font>
      <fill>
        <patternFill>
          <bgColor theme="5"/>
        </patternFill>
      </fill>
    </dxf>
  </dxfs>
  <tableStyles count="0" defaultTableStyle="TableStyleMedium2" defaultPivotStyle="PivotStyleLight16"/>
  <colors>
    <mruColors>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200025</xdr:colOff>
      <xdr:row>0</xdr:row>
      <xdr:rowOff>0</xdr:rowOff>
    </xdr:from>
    <xdr:to>
      <xdr:col>1</xdr:col>
      <xdr:colOff>1181265</xdr:colOff>
      <xdr:row>3</xdr:row>
      <xdr:rowOff>142875</xdr:rowOff>
    </xdr:to>
    <xdr:pic>
      <xdr:nvPicPr>
        <xdr:cNvPr id="2" name="Picture 1">
          <a:extLst>
            <a:ext uri="{FF2B5EF4-FFF2-40B4-BE49-F238E27FC236}">
              <a16:creationId xmlns:a16="http://schemas.microsoft.com/office/drawing/2014/main" id="{0F09C306-55CE-444A-9505-06CCDDD05301}"/>
            </a:ext>
          </a:extLst>
        </xdr:cNvPr>
        <xdr:cNvPicPr>
          <a:picLocks noChangeAspect="1"/>
        </xdr:cNvPicPr>
      </xdr:nvPicPr>
      <xdr:blipFill>
        <a:blip xmlns:r="http://schemas.openxmlformats.org/officeDocument/2006/relationships" r:embed="rId1"/>
        <a:stretch>
          <a:fillRect/>
        </a:stretch>
      </xdr:blipFill>
      <xdr:spPr>
        <a:xfrm>
          <a:off x="200025" y="0"/>
          <a:ext cx="1181265" cy="7143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66675</xdr:colOff>
      <xdr:row>0</xdr:row>
      <xdr:rowOff>9525</xdr:rowOff>
    </xdr:from>
    <xdr:to>
      <xdr:col>2</xdr:col>
      <xdr:colOff>864771</xdr:colOff>
      <xdr:row>3</xdr:row>
      <xdr:rowOff>146742</xdr:rowOff>
    </xdr:to>
    <xdr:pic>
      <xdr:nvPicPr>
        <xdr:cNvPr id="2" name="Picture 1">
          <a:extLst>
            <a:ext uri="{FF2B5EF4-FFF2-40B4-BE49-F238E27FC236}">
              <a16:creationId xmlns:a16="http://schemas.microsoft.com/office/drawing/2014/main" id="{2E921414-03B3-4E0A-8F4E-6795CD8835DB}"/>
            </a:ext>
          </a:extLst>
        </xdr:cNvPr>
        <xdr:cNvPicPr>
          <a:picLocks noChangeAspect="1"/>
        </xdr:cNvPicPr>
      </xdr:nvPicPr>
      <xdr:blipFill>
        <a:blip xmlns:r="http://schemas.openxmlformats.org/officeDocument/2006/relationships" r:embed="rId1"/>
        <a:stretch>
          <a:fillRect/>
        </a:stretch>
      </xdr:blipFill>
      <xdr:spPr>
        <a:xfrm>
          <a:off x="190500" y="9525"/>
          <a:ext cx="1179096" cy="70871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1179096</xdr:colOff>
      <xdr:row>3</xdr:row>
      <xdr:rowOff>137217</xdr:rowOff>
    </xdr:to>
    <xdr:pic>
      <xdr:nvPicPr>
        <xdr:cNvPr id="2" name="Picture 1">
          <a:extLst>
            <a:ext uri="{FF2B5EF4-FFF2-40B4-BE49-F238E27FC236}">
              <a16:creationId xmlns:a16="http://schemas.microsoft.com/office/drawing/2014/main" id="{BC579291-E293-4581-B0EA-AE3057E84130}"/>
            </a:ext>
          </a:extLst>
        </xdr:cNvPr>
        <xdr:cNvPicPr>
          <a:picLocks noChangeAspect="1"/>
        </xdr:cNvPicPr>
      </xdr:nvPicPr>
      <xdr:blipFill>
        <a:blip xmlns:r="http://schemas.openxmlformats.org/officeDocument/2006/relationships" r:embed="rId1"/>
        <a:stretch>
          <a:fillRect/>
        </a:stretch>
      </xdr:blipFill>
      <xdr:spPr>
        <a:xfrm>
          <a:off x="123825" y="0"/>
          <a:ext cx="1179096" cy="70871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85725</xdr:colOff>
      <xdr:row>0</xdr:row>
      <xdr:rowOff>9525</xdr:rowOff>
    </xdr:from>
    <xdr:to>
      <xdr:col>3</xdr:col>
      <xdr:colOff>45621</xdr:colOff>
      <xdr:row>3</xdr:row>
      <xdr:rowOff>146742</xdr:rowOff>
    </xdr:to>
    <xdr:pic>
      <xdr:nvPicPr>
        <xdr:cNvPr id="2" name="Picture 1">
          <a:extLst>
            <a:ext uri="{FF2B5EF4-FFF2-40B4-BE49-F238E27FC236}">
              <a16:creationId xmlns:a16="http://schemas.microsoft.com/office/drawing/2014/main" id="{7600ACE6-4837-4154-B3AE-4746AD242F15}"/>
            </a:ext>
          </a:extLst>
        </xdr:cNvPr>
        <xdr:cNvPicPr>
          <a:picLocks noChangeAspect="1"/>
        </xdr:cNvPicPr>
      </xdr:nvPicPr>
      <xdr:blipFill>
        <a:blip xmlns:r="http://schemas.openxmlformats.org/officeDocument/2006/relationships" r:embed="rId1"/>
        <a:stretch>
          <a:fillRect/>
        </a:stretch>
      </xdr:blipFill>
      <xdr:spPr>
        <a:xfrm>
          <a:off x="209550" y="9525"/>
          <a:ext cx="1179096" cy="7087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464721</xdr:colOff>
      <xdr:row>2</xdr:row>
      <xdr:rowOff>232467</xdr:rowOff>
    </xdr:to>
    <xdr:pic>
      <xdr:nvPicPr>
        <xdr:cNvPr id="2" name="Picture 1">
          <a:extLst>
            <a:ext uri="{FF2B5EF4-FFF2-40B4-BE49-F238E27FC236}">
              <a16:creationId xmlns:a16="http://schemas.microsoft.com/office/drawing/2014/main" id="{28C4D3D0-87EA-41DB-ACBD-CA71A10D2E98}"/>
            </a:ext>
          </a:extLst>
        </xdr:cNvPr>
        <xdr:cNvPicPr>
          <a:picLocks noChangeAspect="1"/>
        </xdr:cNvPicPr>
      </xdr:nvPicPr>
      <xdr:blipFill>
        <a:blip xmlns:r="http://schemas.openxmlformats.org/officeDocument/2006/relationships" r:embed="rId1"/>
        <a:stretch>
          <a:fillRect/>
        </a:stretch>
      </xdr:blipFill>
      <xdr:spPr>
        <a:xfrm>
          <a:off x="123825" y="0"/>
          <a:ext cx="1179096" cy="70871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464721</xdr:colOff>
      <xdr:row>2</xdr:row>
      <xdr:rowOff>232467</xdr:rowOff>
    </xdr:to>
    <xdr:pic>
      <xdr:nvPicPr>
        <xdr:cNvPr id="2" name="Picture 1">
          <a:extLst>
            <a:ext uri="{FF2B5EF4-FFF2-40B4-BE49-F238E27FC236}">
              <a16:creationId xmlns:a16="http://schemas.microsoft.com/office/drawing/2014/main" id="{7D12E2C3-EF19-47E6-9906-BB88E2BD8A5D}"/>
            </a:ext>
          </a:extLst>
        </xdr:cNvPr>
        <xdr:cNvPicPr>
          <a:picLocks noChangeAspect="1"/>
        </xdr:cNvPicPr>
      </xdr:nvPicPr>
      <xdr:blipFill>
        <a:blip xmlns:r="http://schemas.openxmlformats.org/officeDocument/2006/relationships" r:embed="rId1"/>
        <a:stretch>
          <a:fillRect/>
        </a:stretch>
      </xdr:blipFill>
      <xdr:spPr>
        <a:xfrm>
          <a:off x="123825" y="0"/>
          <a:ext cx="1179096" cy="70871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464721</xdr:colOff>
      <xdr:row>2</xdr:row>
      <xdr:rowOff>232467</xdr:rowOff>
    </xdr:to>
    <xdr:pic>
      <xdr:nvPicPr>
        <xdr:cNvPr id="2" name="Picture 1">
          <a:extLst>
            <a:ext uri="{FF2B5EF4-FFF2-40B4-BE49-F238E27FC236}">
              <a16:creationId xmlns:a16="http://schemas.microsoft.com/office/drawing/2014/main" id="{37020CDD-8421-4961-9DA8-47D40575C931}"/>
            </a:ext>
          </a:extLst>
        </xdr:cNvPr>
        <xdr:cNvPicPr>
          <a:picLocks noChangeAspect="1"/>
        </xdr:cNvPicPr>
      </xdr:nvPicPr>
      <xdr:blipFill>
        <a:blip xmlns:r="http://schemas.openxmlformats.org/officeDocument/2006/relationships" r:embed="rId1"/>
        <a:stretch>
          <a:fillRect/>
        </a:stretch>
      </xdr:blipFill>
      <xdr:spPr>
        <a:xfrm>
          <a:off x="123825" y="0"/>
          <a:ext cx="1179096" cy="70871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464721</xdr:colOff>
      <xdr:row>2</xdr:row>
      <xdr:rowOff>232467</xdr:rowOff>
    </xdr:to>
    <xdr:pic>
      <xdr:nvPicPr>
        <xdr:cNvPr id="2" name="Picture 1">
          <a:extLst>
            <a:ext uri="{FF2B5EF4-FFF2-40B4-BE49-F238E27FC236}">
              <a16:creationId xmlns:a16="http://schemas.microsoft.com/office/drawing/2014/main" id="{3C9E253F-30B1-4381-ADFF-C886666442DF}"/>
            </a:ext>
          </a:extLst>
        </xdr:cNvPr>
        <xdr:cNvPicPr>
          <a:picLocks noChangeAspect="1"/>
        </xdr:cNvPicPr>
      </xdr:nvPicPr>
      <xdr:blipFill>
        <a:blip xmlns:r="http://schemas.openxmlformats.org/officeDocument/2006/relationships" r:embed="rId1"/>
        <a:stretch>
          <a:fillRect/>
        </a:stretch>
      </xdr:blipFill>
      <xdr:spPr>
        <a:xfrm>
          <a:off x="123825" y="0"/>
          <a:ext cx="1179096" cy="70871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464721</xdr:colOff>
      <xdr:row>2</xdr:row>
      <xdr:rowOff>232467</xdr:rowOff>
    </xdr:to>
    <xdr:pic>
      <xdr:nvPicPr>
        <xdr:cNvPr id="2" name="Picture 1">
          <a:extLst>
            <a:ext uri="{FF2B5EF4-FFF2-40B4-BE49-F238E27FC236}">
              <a16:creationId xmlns:a16="http://schemas.microsoft.com/office/drawing/2014/main" id="{4FD7BD91-A220-4F88-96D3-43B9FD72EDFC}"/>
            </a:ext>
          </a:extLst>
        </xdr:cNvPr>
        <xdr:cNvPicPr>
          <a:picLocks noChangeAspect="1"/>
        </xdr:cNvPicPr>
      </xdr:nvPicPr>
      <xdr:blipFill>
        <a:blip xmlns:r="http://schemas.openxmlformats.org/officeDocument/2006/relationships" r:embed="rId1"/>
        <a:stretch>
          <a:fillRect/>
        </a:stretch>
      </xdr:blipFill>
      <xdr:spPr>
        <a:xfrm>
          <a:off x="123825" y="0"/>
          <a:ext cx="1179096" cy="70871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SUS\Downloads\Trent%20(Zudio)%20model\Trent%20Ltd.%20financial%20model.xlsx" TargetMode="External"/><Relationship Id="rId1" Type="http://schemas.openxmlformats.org/officeDocument/2006/relationships/externalLinkPath" Target="file:///C:\Users\ASUS\Downloads\Trent%20(Zudio)%20model\Trent%20Ltd.%20financial%20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CF Model"/>
      <sheetName val="Comp Data"/>
      <sheetName val="WACC"/>
    </sheetNames>
    <sheetDataSet>
      <sheetData sheetId="0">
        <row r="17">
          <cell r="C17">
            <v>0.02</v>
          </cell>
        </row>
        <row r="22">
          <cell r="C22">
            <v>0.25</v>
          </cell>
        </row>
        <row r="39">
          <cell r="D39">
            <v>283.90000000000072</v>
          </cell>
          <cell r="E39">
            <v>620.4600000000014</v>
          </cell>
          <cell r="F39">
            <v>1299.5800000000004</v>
          </cell>
          <cell r="G39">
            <v>1924.7799999999997</v>
          </cell>
        </row>
      </sheetData>
      <sheetData sheetId="1"/>
      <sheetData sheetId="2"/>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creener.in/excel/"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596D0-D01D-4D39-921B-FE132B233D45}">
  <dimension ref="A1:K96"/>
  <sheetViews>
    <sheetView zoomScale="120" zoomScaleNormal="120" zoomScalePageLayoutView="120" workbookViewId="0">
      <pane xSplit="1" ySplit="1" topLeftCell="B39" activePane="bottomRight" state="frozen"/>
      <selection activeCell="C4" sqref="C4"/>
      <selection pane="topRight" activeCell="C4" sqref="C4"/>
      <selection pane="bottomLeft" activeCell="C4" sqref="C4"/>
      <selection pane="bottomRight" activeCell="H89" sqref="H89:K89"/>
    </sheetView>
  </sheetViews>
  <sheetFormatPr defaultColWidth="8.85546875" defaultRowHeight="15" x14ac:dyDescent="0.25"/>
  <cols>
    <col min="1" max="1" width="27.7109375" style="104" bestFit="1" customWidth="1"/>
    <col min="2" max="11" width="13.42578125" style="104" bestFit="1" customWidth="1"/>
    <col min="12" max="16384" width="8.85546875" style="104"/>
  </cols>
  <sheetData>
    <row r="1" spans="1:11" s="106" customFormat="1" x14ac:dyDescent="0.25">
      <c r="A1" s="106" t="s">
        <v>350</v>
      </c>
      <c r="B1" s="106" t="s">
        <v>349</v>
      </c>
      <c r="E1" s="138" t="str">
        <f>IF(B2&lt;&gt;B3, "A NEW VERSION OF THE WORKSHEET IS AVAILABLE", "")</f>
        <v/>
      </c>
      <c r="F1" s="138"/>
      <c r="G1" s="138"/>
      <c r="H1" s="138"/>
      <c r="I1" s="138"/>
      <c r="J1" s="138"/>
      <c r="K1" s="138"/>
    </row>
    <row r="2" spans="1:11" x14ac:dyDescent="0.25">
      <c r="A2" s="106" t="s">
        <v>348</v>
      </c>
      <c r="B2" s="104">
        <v>2.1</v>
      </c>
      <c r="E2" s="139" t="s">
        <v>347</v>
      </c>
      <c r="F2" s="139"/>
      <c r="G2" s="139"/>
      <c r="H2" s="139"/>
      <c r="I2" s="139"/>
      <c r="J2" s="139"/>
      <c r="K2" s="139"/>
    </row>
    <row r="3" spans="1:11" x14ac:dyDescent="0.25">
      <c r="A3" s="106" t="s">
        <v>346</v>
      </c>
      <c r="B3" s="104">
        <v>2.1</v>
      </c>
    </row>
    <row r="4" spans="1:11" x14ac:dyDescent="0.25">
      <c r="A4" s="106"/>
    </row>
    <row r="5" spans="1:11" x14ac:dyDescent="0.25">
      <c r="A5" s="106" t="s">
        <v>345</v>
      </c>
    </row>
    <row r="6" spans="1:11" x14ac:dyDescent="0.25">
      <c r="A6" s="104" t="s">
        <v>344</v>
      </c>
      <c r="B6" s="104">
        <f>IF(B9&gt;0, B9/B8, 0)</f>
        <v>35.558214539801327</v>
      </c>
    </row>
    <row r="7" spans="1:11" x14ac:dyDescent="0.25">
      <c r="A7" s="104" t="s">
        <v>343</v>
      </c>
      <c r="B7">
        <v>1</v>
      </c>
    </row>
    <row r="8" spans="1:11" x14ac:dyDescent="0.25">
      <c r="A8" s="104" t="s">
        <v>342</v>
      </c>
      <c r="B8">
        <v>3795.1</v>
      </c>
    </row>
    <row r="9" spans="1:11" x14ac:dyDescent="0.25">
      <c r="A9" s="104" t="s">
        <v>41</v>
      </c>
      <c r="B9">
        <v>134946.98000000001</v>
      </c>
    </row>
    <row r="15" spans="1:11" x14ac:dyDescent="0.25">
      <c r="A15" s="106" t="s">
        <v>341</v>
      </c>
    </row>
    <row r="16" spans="1:11" s="108" customFormat="1" x14ac:dyDescent="0.25">
      <c r="A16" s="110" t="s">
        <v>325</v>
      </c>
      <c r="B16" s="109">
        <v>42460</v>
      </c>
      <c r="C16" s="109">
        <v>42825</v>
      </c>
      <c r="D16" s="109">
        <v>43190</v>
      </c>
      <c r="E16" s="109">
        <v>43555</v>
      </c>
      <c r="F16" s="109">
        <v>43921</v>
      </c>
      <c r="G16" s="109">
        <v>44286</v>
      </c>
      <c r="H16" s="109">
        <v>44651</v>
      </c>
      <c r="I16" s="109">
        <v>45016</v>
      </c>
      <c r="J16" s="109">
        <v>45382</v>
      </c>
      <c r="K16" s="109">
        <v>45747</v>
      </c>
    </row>
    <row r="17" spans="1:11" s="107" customFormat="1" x14ac:dyDescent="0.25">
      <c r="A17" s="107" t="s">
        <v>235</v>
      </c>
      <c r="B17">
        <v>1686.17</v>
      </c>
      <c r="C17">
        <v>1812.44</v>
      </c>
      <c r="D17">
        <v>2157.46</v>
      </c>
      <c r="E17">
        <v>2630.24</v>
      </c>
      <c r="F17">
        <v>3485.98</v>
      </c>
      <c r="G17">
        <v>2592.96</v>
      </c>
      <c r="H17">
        <v>4498.0200000000004</v>
      </c>
      <c r="I17">
        <v>8242.02</v>
      </c>
      <c r="J17">
        <v>12375.11</v>
      </c>
      <c r="K17">
        <v>17134.61</v>
      </c>
    </row>
    <row r="18" spans="1:11" s="107" customFormat="1" x14ac:dyDescent="0.25">
      <c r="A18" s="104" t="s">
        <v>340</v>
      </c>
      <c r="B18">
        <v>810.2</v>
      </c>
      <c r="C18">
        <v>911.22</v>
      </c>
      <c r="D18">
        <v>1070.02</v>
      </c>
      <c r="E18">
        <v>1459.67</v>
      </c>
      <c r="F18">
        <v>1951.64</v>
      </c>
      <c r="G18">
        <v>1371.64</v>
      </c>
      <c r="H18">
        <v>2920.38</v>
      </c>
      <c r="I18">
        <v>5211.05</v>
      </c>
      <c r="J18">
        <v>7123.6</v>
      </c>
      <c r="K18">
        <v>10143.39</v>
      </c>
    </row>
    <row r="19" spans="1:11" s="107" customFormat="1" x14ac:dyDescent="0.25">
      <c r="A19" s="104" t="s">
        <v>339</v>
      </c>
      <c r="B19">
        <v>14.59</v>
      </c>
      <c r="C19">
        <v>29.86</v>
      </c>
      <c r="D19">
        <v>38.51</v>
      </c>
      <c r="E19">
        <v>148.22999999999999</v>
      </c>
      <c r="F19">
        <v>69.89</v>
      </c>
      <c r="G19">
        <v>-162.36000000000001</v>
      </c>
      <c r="H19">
        <v>438.84</v>
      </c>
      <c r="I19">
        <v>491.31</v>
      </c>
      <c r="J19">
        <v>164.71</v>
      </c>
      <c r="K19">
        <v>454.25</v>
      </c>
    </row>
    <row r="20" spans="1:11" s="107" customFormat="1" x14ac:dyDescent="0.25">
      <c r="A20" s="104" t="s">
        <v>338</v>
      </c>
      <c r="B20">
        <v>48.92</v>
      </c>
      <c r="C20">
        <v>51.28</v>
      </c>
      <c r="D20">
        <v>52.75</v>
      </c>
      <c r="E20">
        <v>59.18</v>
      </c>
      <c r="F20">
        <v>66.64</v>
      </c>
      <c r="G20">
        <v>49.41</v>
      </c>
      <c r="H20">
        <v>71.89</v>
      </c>
      <c r="I20">
        <v>144.28</v>
      </c>
      <c r="J20">
        <v>229.16</v>
      </c>
      <c r="K20">
        <v>349.87</v>
      </c>
    </row>
    <row r="21" spans="1:11" s="107" customFormat="1" x14ac:dyDescent="0.25">
      <c r="A21" s="104" t="s">
        <v>337</v>
      </c>
      <c r="B21">
        <v>76.42</v>
      </c>
      <c r="C21">
        <v>81.91</v>
      </c>
      <c r="D21">
        <v>90.78</v>
      </c>
      <c r="E21">
        <v>122.09</v>
      </c>
      <c r="F21">
        <v>97.51</v>
      </c>
      <c r="G21">
        <v>92</v>
      </c>
      <c r="H21">
        <v>127.14</v>
      </c>
      <c r="I21">
        <v>211.99</v>
      </c>
      <c r="J21">
        <v>264.58999999999997</v>
      </c>
      <c r="K21">
        <v>369.79</v>
      </c>
    </row>
    <row r="22" spans="1:11" s="107" customFormat="1" x14ac:dyDescent="0.25">
      <c r="A22" s="104" t="s">
        <v>336</v>
      </c>
      <c r="B22">
        <v>165.69</v>
      </c>
      <c r="C22">
        <v>194.72</v>
      </c>
      <c r="D22">
        <v>233.02</v>
      </c>
      <c r="E22">
        <v>288.89</v>
      </c>
      <c r="F22">
        <v>361.01</v>
      </c>
      <c r="G22">
        <v>303.39999999999998</v>
      </c>
      <c r="H22">
        <v>402.92</v>
      </c>
      <c r="I22">
        <v>659.07</v>
      </c>
      <c r="J22">
        <v>1041.74</v>
      </c>
      <c r="K22">
        <v>1315.54</v>
      </c>
    </row>
    <row r="23" spans="1:11" s="107" customFormat="1" x14ac:dyDescent="0.25">
      <c r="A23" s="104" t="s">
        <v>335</v>
      </c>
      <c r="B23">
        <v>444.06</v>
      </c>
      <c r="C23">
        <v>407.07</v>
      </c>
      <c r="D23">
        <v>450.61</v>
      </c>
      <c r="E23">
        <v>514.41</v>
      </c>
      <c r="F23">
        <v>436.82</v>
      </c>
      <c r="G23">
        <v>364.62</v>
      </c>
      <c r="H23">
        <v>705.03</v>
      </c>
      <c r="I23">
        <v>1252.53</v>
      </c>
      <c r="J23">
        <v>1709.55</v>
      </c>
      <c r="K23">
        <v>2322.83</v>
      </c>
    </row>
    <row r="24" spans="1:11" s="107" customFormat="1" x14ac:dyDescent="0.25">
      <c r="A24" s="104" t="s">
        <v>334</v>
      </c>
      <c r="B24">
        <v>65.709999999999994</v>
      </c>
      <c r="C24">
        <v>62.57</v>
      </c>
      <c r="D24">
        <v>90.29</v>
      </c>
      <c r="E24">
        <v>93.59</v>
      </c>
      <c r="F24">
        <v>113.28</v>
      </c>
      <c r="G24">
        <v>135.66</v>
      </c>
      <c r="H24">
        <v>114.78</v>
      </c>
      <c r="I24">
        <v>140.26</v>
      </c>
      <c r="J24">
        <v>200.49</v>
      </c>
      <c r="K24">
        <v>267.48</v>
      </c>
    </row>
    <row r="25" spans="1:11" s="107" customFormat="1" x14ac:dyDescent="0.25">
      <c r="A25" s="107" t="s">
        <v>246</v>
      </c>
      <c r="B25">
        <v>86.44</v>
      </c>
      <c r="C25">
        <v>81.31</v>
      </c>
      <c r="D25">
        <v>27.47</v>
      </c>
      <c r="E25">
        <v>30.14</v>
      </c>
      <c r="F25">
        <v>146.63</v>
      </c>
      <c r="G25">
        <v>199.4</v>
      </c>
      <c r="H25">
        <v>152.16</v>
      </c>
      <c r="I25">
        <v>340.6</v>
      </c>
      <c r="J25">
        <v>988.91</v>
      </c>
      <c r="K25">
        <v>305.06</v>
      </c>
    </row>
    <row r="26" spans="1:11" s="107" customFormat="1" x14ac:dyDescent="0.25">
      <c r="A26" s="107" t="s">
        <v>244</v>
      </c>
      <c r="B26">
        <v>38.590000000000003</v>
      </c>
      <c r="C26">
        <v>41.29</v>
      </c>
      <c r="D26">
        <v>45.53</v>
      </c>
      <c r="E26">
        <v>51.67</v>
      </c>
      <c r="F26">
        <v>247.24</v>
      </c>
      <c r="G26">
        <v>257.3</v>
      </c>
      <c r="H26">
        <v>310.82</v>
      </c>
      <c r="I26">
        <v>493.69</v>
      </c>
      <c r="J26">
        <v>671.11</v>
      </c>
      <c r="K26">
        <v>895.18</v>
      </c>
    </row>
    <row r="27" spans="1:11" s="107" customFormat="1" x14ac:dyDescent="0.25">
      <c r="A27" s="107" t="s">
        <v>247</v>
      </c>
      <c r="B27">
        <v>47.73</v>
      </c>
      <c r="C27">
        <v>45.55</v>
      </c>
      <c r="D27">
        <v>43.78</v>
      </c>
      <c r="E27">
        <v>50.64</v>
      </c>
      <c r="F27">
        <v>263.37</v>
      </c>
      <c r="G27">
        <v>260.79000000000002</v>
      </c>
      <c r="H27">
        <v>324.83999999999997</v>
      </c>
      <c r="I27">
        <v>408.99</v>
      </c>
      <c r="J27">
        <v>367.66</v>
      </c>
      <c r="K27">
        <v>200.1</v>
      </c>
    </row>
    <row r="28" spans="1:11" s="107" customFormat="1" x14ac:dyDescent="0.25">
      <c r="A28" s="107" t="s">
        <v>249</v>
      </c>
      <c r="B28">
        <v>89.88</v>
      </c>
      <c r="C28">
        <v>128</v>
      </c>
      <c r="D28">
        <v>146.66</v>
      </c>
      <c r="E28">
        <v>168.47</v>
      </c>
      <c r="F28">
        <v>164.99</v>
      </c>
      <c r="G28">
        <v>-204.82</v>
      </c>
      <c r="H28">
        <v>111.22</v>
      </c>
      <c r="I28">
        <v>552.07000000000005</v>
      </c>
      <c r="J28">
        <v>1920.83</v>
      </c>
      <c r="K28">
        <v>2029.74</v>
      </c>
    </row>
    <row r="29" spans="1:11" s="107" customFormat="1" x14ac:dyDescent="0.25">
      <c r="A29" s="107" t="s">
        <v>250</v>
      </c>
      <c r="B29">
        <v>34.71</v>
      </c>
      <c r="C29">
        <v>43.05</v>
      </c>
      <c r="D29">
        <v>59.62</v>
      </c>
      <c r="E29">
        <v>73.61</v>
      </c>
      <c r="F29">
        <v>59.01</v>
      </c>
      <c r="G29">
        <v>-23.69</v>
      </c>
      <c r="H29">
        <v>76.62</v>
      </c>
      <c r="I29">
        <v>158.44</v>
      </c>
      <c r="J29">
        <v>443.37</v>
      </c>
      <c r="K29">
        <v>495.33</v>
      </c>
    </row>
    <row r="30" spans="1:11" s="107" customFormat="1" x14ac:dyDescent="0.25">
      <c r="A30" s="107" t="s">
        <v>252</v>
      </c>
      <c r="B30">
        <v>55.1</v>
      </c>
      <c r="C30">
        <v>84.86</v>
      </c>
      <c r="D30">
        <v>86.97</v>
      </c>
      <c r="E30">
        <v>96.96</v>
      </c>
      <c r="F30">
        <v>122.85</v>
      </c>
      <c r="G30">
        <v>-146.16999999999999</v>
      </c>
      <c r="H30">
        <v>105.83</v>
      </c>
      <c r="I30">
        <v>444.63</v>
      </c>
      <c r="J30">
        <v>1486.8</v>
      </c>
      <c r="K30">
        <v>1546.72</v>
      </c>
    </row>
    <row r="31" spans="1:11" s="107" customFormat="1" x14ac:dyDescent="0.25">
      <c r="A31" s="107" t="s">
        <v>333</v>
      </c>
      <c r="B31">
        <v>29.91</v>
      </c>
      <c r="C31">
        <v>33.229999999999997</v>
      </c>
      <c r="D31">
        <v>38.21</v>
      </c>
      <c r="E31">
        <v>43.2</v>
      </c>
      <c r="F31">
        <v>35.549999999999997</v>
      </c>
      <c r="G31">
        <v>21.33</v>
      </c>
      <c r="H31">
        <v>60.44</v>
      </c>
      <c r="I31">
        <v>78.209999999999994</v>
      </c>
      <c r="J31">
        <v>113.76</v>
      </c>
      <c r="K31">
        <v>177.75</v>
      </c>
    </row>
    <row r="32" spans="1:11" s="107" customFormat="1" x14ac:dyDescent="0.25"/>
    <row r="33" spans="1:11" x14ac:dyDescent="0.25">
      <c r="A33" s="107"/>
    </row>
    <row r="34" spans="1:11" x14ac:dyDescent="0.25">
      <c r="A34" s="107"/>
    </row>
    <row r="35" spans="1:11" x14ac:dyDescent="0.25">
      <c r="A35" s="107"/>
    </row>
    <row r="36" spans="1:11" x14ac:dyDescent="0.25">
      <c r="A36" s="107"/>
    </row>
    <row r="37" spans="1:11" x14ac:dyDescent="0.25">
      <c r="A37" s="107"/>
    </row>
    <row r="38" spans="1:11" x14ac:dyDescent="0.25">
      <c r="A38" s="107"/>
    </row>
    <row r="39" spans="1:11" x14ac:dyDescent="0.25">
      <c r="A39" s="107"/>
    </row>
    <row r="40" spans="1:11" x14ac:dyDescent="0.25">
      <c r="A40" s="106" t="s">
        <v>332</v>
      </c>
    </row>
    <row r="41" spans="1:11" s="108" customFormat="1" x14ac:dyDescent="0.25">
      <c r="A41" s="110" t="s">
        <v>325</v>
      </c>
      <c r="B41" s="109">
        <v>45107</v>
      </c>
      <c r="C41" s="109">
        <v>45199</v>
      </c>
      <c r="D41" s="109">
        <v>45291</v>
      </c>
      <c r="E41" s="109">
        <v>45382</v>
      </c>
      <c r="F41" s="109">
        <v>45473</v>
      </c>
      <c r="G41" s="109">
        <v>45565</v>
      </c>
      <c r="H41" s="109">
        <v>45657</v>
      </c>
      <c r="I41" s="109">
        <v>45747</v>
      </c>
      <c r="J41" s="109">
        <v>45838</v>
      </c>
      <c r="K41" s="109">
        <v>45930</v>
      </c>
    </row>
    <row r="42" spans="1:11" s="107" customFormat="1" x14ac:dyDescent="0.25">
      <c r="A42" s="107" t="s">
        <v>235</v>
      </c>
      <c r="B42">
        <v>2628.37</v>
      </c>
      <c r="C42">
        <v>2982.42</v>
      </c>
      <c r="D42">
        <v>3466.62</v>
      </c>
      <c r="E42">
        <v>3297.7</v>
      </c>
      <c r="F42">
        <v>4104.4399999999996</v>
      </c>
      <c r="G42">
        <v>4156.67</v>
      </c>
      <c r="H42">
        <v>4656.5600000000004</v>
      </c>
      <c r="I42">
        <v>4216.9399999999996</v>
      </c>
      <c r="J42">
        <v>4883.4799999999996</v>
      </c>
      <c r="K42">
        <v>4817.68</v>
      </c>
    </row>
    <row r="43" spans="1:11" s="107" customFormat="1" x14ac:dyDescent="0.25">
      <c r="A43" s="107" t="s">
        <v>331</v>
      </c>
      <c r="B43">
        <v>2260.9699999999998</v>
      </c>
      <c r="C43">
        <v>2525.85</v>
      </c>
      <c r="D43">
        <v>2838.1</v>
      </c>
      <c r="E43">
        <v>2828.06</v>
      </c>
      <c r="F43">
        <v>3491.09</v>
      </c>
      <c r="G43">
        <v>3510.95</v>
      </c>
      <c r="H43">
        <v>3809.19</v>
      </c>
      <c r="I43">
        <v>3566.03</v>
      </c>
      <c r="J43">
        <v>4035.62</v>
      </c>
      <c r="K43">
        <v>4001.7</v>
      </c>
    </row>
    <row r="44" spans="1:11" s="107" customFormat="1" x14ac:dyDescent="0.25">
      <c r="A44" s="107" t="s">
        <v>246</v>
      </c>
      <c r="B44">
        <v>78.61</v>
      </c>
      <c r="C44">
        <v>105.42</v>
      </c>
      <c r="D44">
        <v>110.01</v>
      </c>
      <c r="E44">
        <v>694.87</v>
      </c>
      <c r="F44">
        <v>100.91</v>
      </c>
      <c r="G44">
        <v>51.04</v>
      </c>
      <c r="H44">
        <v>79.87</v>
      </c>
      <c r="I44">
        <v>74.34</v>
      </c>
      <c r="J44">
        <v>49.8</v>
      </c>
      <c r="K44">
        <v>27.55</v>
      </c>
    </row>
    <row r="45" spans="1:11" s="107" customFormat="1" x14ac:dyDescent="0.25">
      <c r="A45" s="107" t="s">
        <v>244</v>
      </c>
      <c r="B45">
        <v>141.41999999999999</v>
      </c>
      <c r="C45">
        <v>152.22</v>
      </c>
      <c r="D45">
        <v>164.53</v>
      </c>
      <c r="E45">
        <v>212.94</v>
      </c>
      <c r="F45">
        <v>181.32</v>
      </c>
      <c r="G45">
        <v>196.95</v>
      </c>
      <c r="H45">
        <v>244.93</v>
      </c>
      <c r="I45">
        <v>271.98</v>
      </c>
      <c r="J45">
        <v>292.93</v>
      </c>
      <c r="K45">
        <v>324.93</v>
      </c>
    </row>
    <row r="46" spans="1:11" s="107" customFormat="1" x14ac:dyDescent="0.25">
      <c r="A46" s="107" t="s">
        <v>247</v>
      </c>
      <c r="B46">
        <v>92.3</v>
      </c>
      <c r="C46">
        <v>95.45</v>
      </c>
      <c r="D46">
        <v>98.81</v>
      </c>
      <c r="E46">
        <v>32.54</v>
      </c>
      <c r="F46">
        <v>31.55</v>
      </c>
      <c r="G46">
        <v>33</v>
      </c>
      <c r="H46">
        <v>36.520000000000003</v>
      </c>
      <c r="I46">
        <v>37.520000000000003</v>
      </c>
      <c r="J46">
        <v>40.04</v>
      </c>
      <c r="K46">
        <v>41.62</v>
      </c>
    </row>
    <row r="47" spans="1:11" s="107" customFormat="1" x14ac:dyDescent="0.25">
      <c r="A47" s="107" t="s">
        <v>249</v>
      </c>
      <c r="B47">
        <v>212.29</v>
      </c>
      <c r="C47">
        <v>314.32</v>
      </c>
      <c r="D47">
        <v>475.19</v>
      </c>
      <c r="E47">
        <v>919.03</v>
      </c>
      <c r="F47">
        <v>501.39</v>
      </c>
      <c r="G47">
        <v>466.81</v>
      </c>
      <c r="H47">
        <v>645.79</v>
      </c>
      <c r="I47">
        <v>415.75</v>
      </c>
      <c r="J47">
        <v>564.69000000000005</v>
      </c>
      <c r="K47">
        <v>476.98</v>
      </c>
    </row>
    <row r="48" spans="1:11" s="107" customFormat="1" x14ac:dyDescent="0.25">
      <c r="A48" s="107" t="s">
        <v>250</v>
      </c>
      <c r="B48">
        <v>45.62</v>
      </c>
      <c r="C48">
        <v>86.26</v>
      </c>
      <c r="D48">
        <v>104.55</v>
      </c>
      <c r="E48">
        <v>206.94</v>
      </c>
      <c r="F48">
        <v>110.18</v>
      </c>
      <c r="G48">
        <v>131.75</v>
      </c>
      <c r="H48">
        <v>149.25</v>
      </c>
      <c r="I48">
        <v>104.15</v>
      </c>
      <c r="J48">
        <v>139.99</v>
      </c>
      <c r="K48">
        <v>103.56</v>
      </c>
    </row>
    <row r="49" spans="1:11" s="107" customFormat="1" x14ac:dyDescent="0.25">
      <c r="A49" s="107" t="s">
        <v>252</v>
      </c>
      <c r="B49">
        <v>173.48</v>
      </c>
      <c r="C49">
        <v>234.73</v>
      </c>
      <c r="D49">
        <v>374.36</v>
      </c>
      <c r="E49">
        <v>704.23</v>
      </c>
      <c r="F49">
        <v>392.57</v>
      </c>
      <c r="G49">
        <v>338.75</v>
      </c>
      <c r="H49">
        <v>497.25</v>
      </c>
      <c r="I49">
        <v>318.14999999999998</v>
      </c>
      <c r="J49">
        <v>429.69</v>
      </c>
      <c r="K49">
        <v>376.86</v>
      </c>
    </row>
    <row r="50" spans="1:11" x14ac:dyDescent="0.25">
      <c r="A50" s="107" t="s">
        <v>330</v>
      </c>
      <c r="B50">
        <v>367.4</v>
      </c>
      <c r="C50">
        <v>456.57</v>
      </c>
      <c r="D50">
        <v>628.52</v>
      </c>
      <c r="E50">
        <v>469.64</v>
      </c>
      <c r="F50">
        <v>613.35</v>
      </c>
      <c r="G50">
        <v>645.72</v>
      </c>
      <c r="H50">
        <v>847.37</v>
      </c>
      <c r="I50">
        <v>650.91</v>
      </c>
      <c r="J50">
        <v>847.86</v>
      </c>
      <c r="K50">
        <v>815.98</v>
      </c>
    </row>
    <row r="51" spans="1:11" x14ac:dyDescent="0.25">
      <c r="A51" s="107"/>
    </row>
    <row r="52" spans="1:11" x14ac:dyDescent="0.25">
      <c r="A52" s="107"/>
    </row>
    <row r="53" spans="1:11" x14ac:dyDescent="0.25">
      <c r="A53" s="107"/>
    </row>
    <row r="54" spans="1:11" x14ac:dyDescent="0.25">
      <c r="A54" s="107"/>
    </row>
    <row r="55" spans="1:11" x14ac:dyDescent="0.25">
      <c r="A55" s="106" t="s">
        <v>253</v>
      </c>
    </row>
    <row r="56" spans="1:11" s="108" customFormat="1" x14ac:dyDescent="0.25">
      <c r="A56" s="110" t="s">
        <v>325</v>
      </c>
      <c r="B56" s="109">
        <v>42460</v>
      </c>
      <c r="C56" s="109">
        <v>42825</v>
      </c>
      <c r="D56" s="109">
        <v>43190</v>
      </c>
      <c r="E56" s="109">
        <v>43555</v>
      </c>
      <c r="F56" s="109">
        <v>43921</v>
      </c>
      <c r="G56" s="109">
        <v>44286</v>
      </c>
      <c r="H56" s="109">
        <v>44651</v>
      </c>
      <c r="I56" s="109">
        <v>45016</v>
      </c>
      <c r="J56" s="109">
        <v>45382</v>
      </c>
      <c r="K56" s="109">
        <v>45747</v>
      </c>
    </row>
    <row r="57" spans="1:11" x14ac:dyDescent="0.25">
      <c r="A57" s="107" t="s">
        <v>254</v>
      </c>
      <c r="B57">
        <v>33.229999999999997</v>
      </c>
      <c r="C57">
        <v>33.229999999999997</v>
      </c>
      <c r="D57">
        <v>33.229999999999997</v>
      </c>
      <c r="E57">
        <v>33.229999999999997</v>
      </c>
      <c r="F57">
        <v>35.549999999999997</v>
      </c>
      <c r="G57">
        <v>35.549999999999997</v>
      </c>
      <c r="H57">
        <v>35.549999999999997</v>
      </c>
      <c r="I57">
        <v>35.549999999999997</v>
      </c>
      <c r="J57">
        <v>35.549999999999997</v>
      </c>
      <c r="K57">
        <v>35.549999999999997</v>
      </c>
    </row>
    <row r="58" spans="1:11" x14ac:dyDescent="0.25">
      <c r="A58" s="107" t="s">
        <v>170</v>
      </c>
      <c r="B58">
        <v>1431.16</v>
      </c>
      <c r="C58">
        <v>1514.46</v>
      </c>
      <c r="D58">
        <v>1562.14</v>
      </c>
      <c r="E58">
        <v>1613.28</v>
      </c>
      <c r="F58">
        <v>2352.2199999999998</v>
      </c>
      <c r="G58">
        <v>2277.48</v>
      </c>
      <c r="H58">
        <v>2328.4499999999998</v>
      </c>
      <c r="I58">
        <v>2559.94</v>
      </c>
      <c r="J58">
        <v>4032.19</v>
      </c>
      <c r="K58">
        <v>5426.19</v>
      </c>
    </row>
    <row r="59" spans="1:11" x14ac:dyDescent="0.25">
      <c r="A59" s="107" t="s">
        <v>255</v>
      </c>
      <c r="B59">
        <v>399.8</v>
      </c>
      <c r="C59">
        <v>391.74</v>
      </c>
      <c r="D59">
        <v>391.43</v>
      </c>
      <c r="E59">
        <v>494.14</v>
      </c>
      <c r="F59">
        <v>299.74</v>
      </c>
      <c r="G59">
        <v>299.93</v>
      </c>
      <c r="H59">
        <v>4725.3599999999997</v>
      </c>
      <c r="I59">
        <v>4464.1400000000003</v>
      </c>
      <c r="J59">
        <v>1752.99</v>
      </c>
      <c r="K59">
        <v>2237.19</v>
      </c>
    </row>
    <row r="60" spans="1:11" x14ac:dyDescent="0.25">
      <c r="A60" s="107" t="s">
        <v>256</v>
      </c>
      <c r="B60">
        <v>292.39999999999998</v>
      </c>
      <c r="C60">
        <v>282.82</v>
      </c>
      <c r="D60">
        <v>349.06</v>
      </c>
      <c r="E60">
        <v>418.11</v>
      </c>
      <c r="F60">
        <v>2819.17</v>
      </c>
      <c r="G60">
        <v>3110.77</v>
      </c>
      <c r="H60">
        <v>636.66</v>
      </c>
      <c r="I60">
        <v>1021.9</v>
      </c>
      <c r="J60">
        <v>1341.02</v>
      </c>
      <c r="K60">
        <v>1720.71</v>
      </c>
    </row>
    <row r="61" spans="1:11" s="106" customFormat="1" x14ac:dyDescent="0.25">
      <c r="A61" s="106" t="s">
        <v>138</v>
      </c>
      <c r="B61">
        <v>2156.59</v>
      </c>
      <c r="C61">
        <v>2222.25</v>
      </c>
      <c r="D61">
        <v>2335.86</v>
      </c>
      <c r="E61">
        <v>2558.7600000000002</v>
      </c>
      <c r="F61">
        <v>5506.68</v>
      </c>
      <c r="G61">
        <v>5723.73</v>
      </c>
      <c r="H61">
        <v>7726.02</v>
      </c>
      <c r="I61">
        <v>8081.53</v>
      </c>
      <c r="J61">
        <v>7161.75</v>
      </c>
      <c r="K61">
        <v>9419.64</v>
      </c>
    </row>
    <row r="62" spans="1:11" x14ac:dyDescent="0.25">
      <c r="A62" s="107" t="s">
        <v>202</v>
      </c>
      <c r="B62">
        <v>476.79</v>
      </c>
      <c r="C62">
        <v>548.71</v>
      </c>
      <c r="D62">
        <v>612.53</v>
      </c>
      <c r="E62">
        <v>662.18</v>
      </c>
      <c r="F62">
        <v>2738.43</v>
      </c>
      <c r="G62">
        <v>3053.82</v>
      </c>
      <c r="H62">
        <v>4686.71</v>
      </c>
      <c r="I62">
        <v>4526.95</v>
      </c>
      <c r="J62">
        <v>2449.92</v>
      </c>
      <c r="K62">
        <v>3895.13</v>
      </c>
    </row>
    <row r="63" spans="1:11" x14ac:dyDescent="0.25">
      <c r="A63" s="107" t="s">
        <v>257</v>
      </c>
      <c r="B63">
        <v>54.86</v>
      </c>
      <c r="C63">
        <v>5.48</v>
      </c>
      <c r="D63">
        <v>9.59</v>
      </c>
      <c r="E63">
        <v>87.18</v>
      </c>
      <c r="F63">
        <v>23.32</v>
      </c>
      <c r="G63">
        <v>107.98</v>
      </c>
      <c r="H63">
        <v>104.72</v>
      </c>
      <c r="I63">
        <v>101.72</v>
      </c>
      <c r="J63">
        <v>223.78</v>
      </c>
      <c r="K63">
        <v>179.5</v>
      </c>
    </row>
    <row r="64" spans="1:11" x14ac:dyDescent="0.25">
      <c r="A64" s="107" t="s">
        <v>191</v>
      </c>
      <c r="B64">
        <v>1066.97</v>
      </c>
      <c r="C64">
        <v>1079.96</v>
      </c>
      <c r="D64">
        <v>1022.88</v>
      </c>
      <c r="E64">
        <v>882.83</v>
      </c>
      <c r="F64">
        <v>1514.78</v>
      </c>
      <c r="G64">
        <v>1487.29</v>
      </c>
      <c r="H64">
        <v>1283.72</v>
      </c>
      <c r="I64">
        <v>1109.8699999999999</v>
      </c>
      <c r="J64">
        <v>1416.03</v>
      </c>
      <c r="K64">
        <v>1480.25</v>
      </c>
    </row>
    <row r="65" spans="1:11" x14ac:dyDescent="0.25">
      <c r="A65" s="107" t="s">
        <v>261</v>
      </c>
      <c r="B65">
        <v>557.97</v>
      </c>
      <c r="C65">
        <v>588.1</v>
      </c>
      <c r="D65">
        <v>690.86</v>
      </c>
      <c r="E65">
        <v>926.57</v>
      </c>
      <c r="F65">
        <v>1230.1500000000001</v>
      </c>
      <c r="G65">
        <v>1074.6400000000001</v>
      </c>
      <c r="H65">
        <v>1650.87</v>
      </c>
      <c r="I65">
        <v>2342.9899999999998</v>
      </c>
      <c r="J65">
        <v>3072.02</v>
      </c>
      <c r="K65">
        <v>3864.76</v>
      </c>
    </row>
    <row r="66" spans="1:11" s="106" customFormat="1" x14ac:dyDescent="0.25">
      <c r="A66" s="106" t="s">
        <v>138</v>
      </c>
      <c r="B66">
        <v>2156.59</v>
      </c>
      <c r="C66">
        <v>2222.25</v>
      </c>
      <c r="D66">
        <v>2335.86</v>
      </c>
      <c r="E66">
        <v>2558.7600000000002</v>
      </c>
      <c r="F66">
        <v>5506.68</v>
      </c>
      <c r="G66">
        <v>5723.73</v>
      </c>
      <c r="H66">
        <v>7726.02</v>
      </c>
      <c r="I66">
        <v>8081.53</v>
      </c>
      <c r="J66">
        <v>7161.75</v>
      </c>
      <c r="K66">
        <v>9419.64</v>
      </c>
    </row>
    <row r="67" spans="1:11" s="107" customFormat="1" x14ac:dyDescent="0.25">
      <c r="A67" s="107" t="s">
        <v>258</v>
      </c>
      <c r="B67">
        <v>12.99</v>
      </c>
      <c r="C67">
        <v>5.92</v>
      </c>
      <c r="D67">
        <v>15.1</v>
      </c>
      <c r="E67">
        <v>16.54</v>
      </c>
      <c r="F67">
        <v>17.12</v>
      </c>
      <c r="G67">
        <v>20.77</v>
      </c>
      <c r="H67">
        <v>18.260000000000002</v>
      </c>
      <c r="I67">
        <v>34.39</v>
      </c>
      <c r="J67">
        <v>81.739999999999995</v>
      </c>
      <c r="K67">
        <v>62.95</v>
      </c>
    </row>
    <row r="68" spans="1:11" x14ac:dyDescent="0.25">
      <c r="A68" s="107" t="s">
        <v>259</v>
      </c>
      <c r="B68">
        <v>279.19</v>
      </c>
      <c r="C68">
        <v>305.36</v>
      </c>
      <c r="D68">
        <v>344.77</v>
      </c>
      <c r="E68">
        <v>497.01</v>
      </c>
      <c r="F68">
        <v>607.80999999999995</v>
      </c>
      <c r="G68">
        <v>428.39</v>
      </c>
      <c r="H68">
        <v>867.78</v>
      </c>
      <c r="I68">
        <v>1361.16</v>
      </c>
      <c r="J68">
        <v>1582.73</v>
      </c>
      <c r="K68">
        <v>2045.05</v>
      </c>
    </row>
    <row r="69" spans="1:11" x14ac:dyDescent="0.25">
      <c r="A69" s="104" t="s">
        <v>260</v>
      </c>
      <c r="B69">
        <v>26.9</v>
      </c>
      <c r="C69">
        <v>34.28</v>
      </c>
      <c r="D69">
        <v>32.81</v>
      </c>
      <c r="E69">
        <v>54.23</v>
      </c>
      <c r="F69">
        <v>61.41</v>
      </c>
      <c r="G69">
        <v>81.47</v>
      </c>
      <c r="H69">
        <v>85.97</v>
      </c>
      <c r="I69">
        <v>86.3</v>
      </c>
      <c r="J69">
        <v>297.56</v>
      </c>
      <c r="K69">
        <v>339.84</v>
      </c>
    </row>
    <row r="70" spans="1:11" x14ac:dyDescent="0.25">
      <c r="A70" s="104" t="s">
        <v>329</v>
      </c>
      <c r="B70">
        <v>33231673</v>
      </c>
      <c r="C70">
        <v>332316730</v>
      </c>
      <c r="D70">
        <v>332316730</v>
      </c>
      <c r="E70">
        <v>332316730</v>
      </c>
      <c r="F70">
        <v>355487461</v>
      </c>
      <c r="G70">
        <v>355487461</v>
      </c>
      <c r="H70">
        <v>355487461</v>
      </c>
      <c r="I70">
        <v>355487461</v>
      </c>
      <c r="J70">
        <v>355487461</v>
      </c>
      <c r="K70">
        <v>355487461</v>
      </c>
    </row>
    <row r="71" spans="1:11" x14ac:dyDescent="0.25">
      <c r="A71" s="104" t="s">
        <v>328</v>
      </c>
    </row>
    <row r="72" spans="1:11" x14ac:dyDescent="0.25">
      <c r="A72" s="104" t="s">
        <v>327</v>
      </c>
      <c r="B72">
        <v>10</v>
      </c>
      <c r="C72">
        <v>1</v>
      </c>
      <c r="D72">
        <v>1</v>
      </c>
      <c r="E72">
        <v>1</v>
      </c>
      <c r="F72">
        <v>1</v>
      </c>
      <c r="G72">
        <v>1</v>
      </c>
      <c r="H72">
        <v>1</v>
      </c>
      <c r="I72">
        <v>1</v>
      </c>
      <c r="J72">
        <v>1</v>
      </c>
      <c r="K72">
        <v>1</v>
      </c>
    </row>
    <row r="74" spans="1:11" x14ac:dyDescent="0.25">
      <c r="A74" s="107"/>
    </row>
    <row r="75" spans="1:11" x14ac:dyDescent="0.25">
      <c r="A75" s="107"/>
    </row>
    <row r="76" spans="1:11" x14ac:dyDescent="0.25">
      <c r="A76" s="107"/>
    </row>
    <row r="77" spans="1:11" x14ac:dyDescent="0.25">
      <c r="A77" s="107"/>
    </row>
    <row r="78" spans="1:11" x14ac:dyDescent="0.25">
      <c r="A78" s="107"/>
    </row>
    <row r="79" spans="1:11" x14ac:dyDescent="0.25">
      <c r="A79" s="107"/>
    </row>
    <row r="80" spans="1:11" x14ac:dyDescent="0.25">
      <c r="A80" s="106" t="s">
        <v>326</v>
      </c>
    </row>
    <row r="81" spans="1:11" s="108" customFormat="1" x14ac:dyDescent="0.25">
      <c r="A81" s="110" t="s">
        <v>325</v>
      </c>
      <c r="B81" s="109">
        <v>42460</v>
      </c>
      <c r="C81" s="109">
        <v>42825</v>
      </c>
      <c r="D81" s="109">
        <v>43190</v>
      </c>
      <c r="E81" s="109">
        <v>43555</v>
      </c>
      <c r="F81" s="109">
        <v>43921</v>
      </c>
      <c r="G81" s="109">
        <v>44286</v>
      </c>
      <c r="H81" s="109">
        <v>44651</v>
      </c>
      <c r="I81" s="109">
        <v>45016</v>
      </c>
      <c r="J81" s="109">
        <v>45382</v>
      </c>
      <c r="K81" s="109">
        <v>45747</v>
      </c>
    </row>
    <row r="82" spans="1:11" s="106" customFormat="1" x14ac:dyDescent="0.25">
      <c r="A82" s="107" t="s">
        <v>324</v>
      </c>
      <c r="B82">
        <v>109.42</v>
      </c>
      <c r="C82">
        <v>102.44</v>
      </c>
      <c r="D82">
        <v>76.86</v>
      </c>
      <c r="E82">
        <v>20.98</v>
      </c>
      <c r="F82">
        <v>361.16</v>
      </c>
      <c r="G82">
        <v>285.02999999999997</v>
      </c>
      <c r="H82">
        <v>58.08</v>
      </c>
      <c r="I82">
        <v>594.88</v>
      </c>
      <c r="J82">
        <v>1348.98</v>
      </c>
      <c r="K82">
        <v>1660.9</v>
      </c>
    </row>
    <row r="83" spans="1:11" s="107" customFormat="1" x14ac:dyDescent="0.25">
      <c r="A83" s="107" t="s">
        <v>323</v>
      </c>
      <c r="B83">
        <v>-98.4</v>
      </c>
      <c r="C83">
        <v>-43.7</v>
      </c>
      <c r="D83">
        <v>-4.0199999999999996</v>
      </c>
      <c r="E83">
        <v>-37.03</v>
      </c>
      <c r="F83">
        <v>-808.56</v>
      </c>
      <c r="G83">
        <v>17.71</v>
      </c>
      <c r="H83">
        <v>56.03</v>
      </c>
      <c r="I83">
        <v>-102.63</v>
      </c>
      <c r="J83">
        <v>-508.21</v>
      </c>
      <c r="K83">
        <v>-923.31</v>
      </c>
    </row>
    <row r="84" spans="1:11" s="107" customFormat="1" x14ac:dyDescent="0.25">
      <c r="A84" s="107" t="s">
        <v>322</v>
      </c>
      <c r="B84">
        <v>-13.33</v>
      </c>
      <c r="C84">
        <v>-51.36</v>
      </c>
      <c r="D84">
        <v>-74.31</v>
      </c>
      <c r="E84">
        <v>37.47</v>
      </c>
      <c r="F84">
        <v>451.94</v>
      </c>
      <c r="G84">
        <v>-283.11</v>
      </c>
      <c r="H84">
        <v>-107.98</v>
      </c>
      <c r="I84">
        <v>-491.41</v>
      </c>
      <c r="J84">
        <v>-629.45000000000005</v>
      </c>
      <c r="K84">
        <v>-693.67</v>
      </c>
    </row>
    <row r="85" spans="1:11" s="106" customFormat="1" x14ac:dyDescent="0.25">
      <c r="A85" s="107" t="s">
        <v>304</v>
      </c>
      <c r="B85">
        <v>-2.31</v>
      </c>
      <c r="C85">
        <v>7.38</v>
      </c>
      <c r="D85">
        <v>-1.47</v>
      </c>
      <c r="E85">
        <v>21.42</v>
      </c>
      <c r="F85">
        <v>4.54</v>
      </c>
      <c r="G85">
        <v>19.63</v>
      </c>
      <c r="H85">
        <v>6.13</v>
      </c>
      <c r="I85">
        <v>0.84</v>
      </c>
      <c r="J85">
        <v>211.32</v>
      </c>
      <c r="K85">
        <v>43.92</v>
      </c>
    </row>
    <row r="86" spans="1:11" x14ac:dyDescent="0.25">
      <c r="A86" s="107"/>
      <c r="H86" s="107">
        <f>SUM(G67:G68)-SUM(H67:H68)</f>
        <v>-436.88</v>
      </c>
      <c r="I86" s="107">
        <f>SUM(H67:H68)-SUM(I67:I68)</f>
        <v>-509.51000000000022</v>
      </c>
      <c r="J86" s="107">
        <f>SUM(I67:I68)-SUM(J67:J68)</f>
        <v>-268.91999999999985</v>
      </c>
      <c r="K86" s="107">
        <f>SUM(J67:J68)-SUM(K67:K68)</f>
        <v>-443.53</v>
      </c>
    </row>
    <row r="87" spans="1:11" x14ac:dyDescent="0.25">
      <c r="A87" s="107"/>
      <c r="H87" s="104">
        <f>SUM(H83,H86)</f>
        <v>-380.85</v>
      </c>
      <c r="I87" s="104">
        <f>SUM(I83,I86)</f>
        <v>-612.14000000000021</v>
      </c>
      <c r="J87" s="104">
        <f>SUM(J83,J86)</f>
        <v>-777.12999999999988</v>
      </c>
      <c r="K87" s="104">
        <f>SUM(K83,K86)</f>
        <v>-1366.84</v>
      </c>
    </row>
    <row r="88" spans="1:11" x14ac:dyDescent="0.25">
      <c r="A88" s="107" t="s">
        <v>273</v>
      </c>
      <c r="H88" s="104">
        <f>'[1]DCF Model'!D39*(1-Tax_rate)</f>
        <v>212.92500000000052</v>
      </c>
      <c r="I88" s="104">
        <f>'[1]DCF Model'!E39*(1-Tax_rate)</f>
        <v>465.34500000000105</v>
      </c>
      <c r="J88" s="104">
        <f>'[1]DCF Model'!F39*(1-Tax_rate)</f>
        <v>974.68500000000029</v>
      </c>
      <c r="K88" s="104">
        <f>'[1]DCF Model'!G39*(1-Tax_rate)</f>
        <v>1443.5849999999998</v>
      </c>
    </row>
    <row r="89" spans="1:11" x14ac:dyDescent="0.25">
      <c r="A89" s="107"/>
      <c r="H89" s="104">
        <f>H87/H88</f>
        <v>-1.7886579781613201</v>
      </c>
      <c r="I89" s="104">
        <f>I87/I88</f>
        <v>-1.3154541254338155</v>
      </c>
      <c r="J89" s="104">
        <f>J87/J88</f>
        <v>-0.79731400401155206</v>
      </c>
      <c r="K89" s="104">
        <f>K87/K88</f>
        <v>-0.94683721429635259</v>
      </c>
    </row>
    <row r="90" spans="1:11" x14ac:dyDescent="0.25">
      <c r="A90" s="107"/>
    </row>
    <row r="91" spans="1:11" x14ac:dyDescent="0.25">
      <c r="A91" s="107"/>
    </row>
    <row r="92" spans="1:11" x14ac:dyDescent="0.25">
      <c r="A92" s="107"/>
    </row>
    <row r="93" spans="1:11" s="106" customFormat="1" x14ac:dyDescent="0.25">
      <c r="A93" s="106" t="s">
        <v>321</v>
      </c>
      <c r="B93">
        <v>159.18</v>
      </c>
      <c r="C93">
        <v>266.7</v>
      </c>
      <c r="D93">
        <v>345.05</v>
      </c>
      <c r="E93">
        <v>361.9</v>
      </c>
      <c r="F93">
        <v>484.35</v>
      </c>
      <c r="G93">
        <v>751.05</v>
      </c>
      <c r="H93">
        <v>1275.5</v>
      </c>
      <c r="I93">
        <v>1374.95</v>
      </c>
      <c r="J93">
        <v>3948</v>
      </c>
      <c r="K93">
        <v>5325.15</v>
      </c>
    </row>
    <row r="95" spans="1:11" s="106" customFormat="1" x14ac:dyDescent="0.25">
      <c r="A95" s="106" t="s">
        <v>320</v>
      </c>
    </row>
    <row r="96" spans="1:11" x14ac:dyDescent="0.25">
      <c r="A96" s="104" t="s">
        <v>319</v>
      </c>
      <c r="B96" s="105">
        <v>33.229999999999997</v>
      </c>
      <c r="C96" s="105">
        <v>33.229999999999997</v>
      </c>
      <c r="D96" s="105">
        <v>33.229999999999997</v>
      </c>
      <c r="E96" s="105">
        <v>33.229999999999997</v>
      </c>
      <c r="F96" s="105">
        <v>35.549999999999997</v>
      </c>
      <c r="G96" s="105">
        <v>35.549999999999997</v>
      </c>
      <c r="H96" s="105">
        <v>35.549999999999997</v>
      </c>
      <c r="I96" s="105">
        <v>35.549999999999997</v>
      </c>
      <c r="J96" s="105">
        <v>35.549999999999997</v>
      </c>
      <c r="K96" s="105">
        <v>35.549999999999997</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43923460-E57F-4531-A161-1654B9EEDBD3}"/>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107BE-D2B8-47CB-9CAF-893AC29CE279}">
  <dimension ref="B5:V201"/>
  <sheetViews>
    <sheetView showGridLines="0" tabSelected="1" topLeftCell="A12" zoomScale="77" zoomScaleNormal="100" workbookViewId="0">
      <selection activeCell="S53" sqref="S53"/>
    </sheetView>
  </sheetViews>
  <sheetFormatPr defaultRowHeight="15" x14ac:dyDescent="0.25"/>
  <cols>
    <col min="1" max="1" width="1.85546875" customWidth="1"/>
    <col min="2" max="2" width="37.42578125" customWidth="1"/>
    <col min="3" max="7" width="15.7109375" customWidth="1"/>
    <col min="8" max="8" width="16.140625" bestFit="1" customWidth="1"/>
    <col min="10" max="10" width="11.7109375" bestFit="1" customWidth="1"/>
    <col min="12" max="12" width="11.28515625" bestFit="1" customWidth="1"/>
  </cols>
  <sheetData>
    <row r="5" spans="2:14" x14ac:dyDescent="0.25">
      <c r="B5" s="31" t="s">
        <v>214</v>
      </c>
      <c r="N5" s="65"/>
    </row>
    <row r="6" spans="2:14" x14ac:dyDescent="0.25">
      <c r="B6" s="66" t="s">
        <v>215</v>
      </c>
      <c r="C6" s="1"/>
      <c r="D6" s="45"/>
      <c r="E6" s="1"/>
      <c r="N6" s="67"/>
    </row>
    <row r="7" spans="2:14" x14ac:dyDescent="0.25">
      <c r="B7" t="s">
        <v>216</v>
      </c>
    </row>
    <row r="8" spans="2:14" x14ac:dyDescent="0.25">
      <c r="B8" t="s">
        <v>217</v>
      </c>
    </row>
    <row r="9" spans="2:14" x14ac:dyDescent="0.25">
      <c r="B9" t="s">
        <v>218</v>
      </c>
      <c r="N9" s="68"/>
    </row>
    <row r="10" spans="2:14" x14ac:dyDescent="0.25">
      <c r="B10" t="s">
        <v>219</v>
      </c>
    </row>
    <row r="12" spans="2:14" x14ac:dyDescent="0.25">
      <c r="N12" s="68"/>
    </row>
    <row r="13" spans="2:14" x14ac:dyDescent="0.25">
      <c r="B13" s="69" t="s">
        <v>220</v>
      </c>
      <c r="C13" s="70" t="s">
        <v>221</v>
      </c>
      <c r="D13" s="136" t="s">
        <v>222</v>
      </c>
      <c r="E13" s="136"/>
      <c r="F13" s="136"/>
    </row>
    <row r="14" spans="2:14" x14ac:dyDescent="0.25">
      <c r="B14" t="s">
        <v>223</v>
      </c>
    </row>
    <row r="15" spans="2:14" x14ac:dyDescent="0.25">
      <c r="B15" t="s">
        <v>224</v>
      </c>
      <c r="N15" s="68"/>
    </row>
    <row r="16" spans="2:14" x14ac:dyDescent="0.25">
      <c r="B16" s="71" t="s">
        <v>225</v>
      </c>
      <c r="C16" s="72">
        <v>0.21</v>
      </c>
      <c r="D16" s="135" t="s">
        <v>226</v>
      </c>
      <c r="E16" s="135"/>
      <c r="F16" s="135"/>
    </row>
    <row r="17" spans="2:9" x14ac:dyDescent="0.25">
      <c r="B17" t="s">
        <v>227</v>
      </c>
      <c r="C17" s="42">
        <v>0.02</v>
      </c>
      <c r="D17" t="s">
        <v>228</v>
      </c>
    </row>
    <row r="19" spans="2:9" ht="30.75" customHeight="1" x14ac:dyDescent="0.25">
      <c r="B19" t="s">
        <v>229</v>
      </c>
      <c r="C19" s="132">
        <v>0.06</v>
      </c>
      <c r="D19" s="135" t="s">
        <v>398</v>
      </c>
      <c r="E19" s="135"/>
      <c r="F19" s="135"/>
    </row>
    <row r="20" spans="2:9" x14ac:dyDescent="0.25">
      <c r="B20" t="s">
        <v>230</v>
      </c>
      <c r="C20" s="22">
        <v>6.7000000000000004E-2</v>
      </c>
      <c r="D20" t="s">
        <v>357</v>
      </c>
    </row>
    <row r="21" spans="2:9" x14ac:dyDescent="0.25">
      <c r="B21" t="s">
        <v>231</v>
      </c>
      <c r="C21" s="22">
        <v>5.5E-2</v>
      </c>
      <c r="D21" t="s">
        <v>358</v>
      </c>
    </row>
    <row r="22" spans="2:9" x14ac:dyDescent="0.25">
      <c r="B22" t="s">
        <v>232</v>
      </c>
      <c r="C22" s="42">
        <v>0.25</v>
      </c>
    </row>
    <row r="23" spans="2:9" x14ac:dyDescent="0.25">
      <c r="E23" s="37"/>
    </row>
    <row r="24" spans="2:9" x14ac:dyDescent="0.25">
      <c r="B24" s="66" t="s">
        <v>233</v>
      </c>
      <c r="C24" s="1"/>
      <c r="D24" s="1"/>
      <c r="E24" s="1"/>
    </row>
    <row r="25" spans="2:9" x14ac:dyDescent="0.25">
      <c r="B25" s="74" t="s">
        <v>234</v>
      </c>
    </row>
    <row r="26" spans="2:9" x14ac:dyDescent="0.25">
      <c r="B26" s="69" t="s">
        <v>198</v>
      </c>
      <c r="C26" s="70">
        <v>2021</v>
      </c>
      <c r="D26" s="70">
        <f>C26+1</f>
        <v>2022</v>
      </c>
      <c r="E26" s="70">
        <f t="shared" ref="E26:G26" si="0">D26+1</f>
        <v>2023</v>
      </c>
      <c r="F26" s="70">
        <f t="shared" si="0"/>
        <v>2024</v>
      </c>
      <c r="G26" s="70">
        <f t="shared" si="0"/>
        <v>2025</v>
      </c>
    </row>
    <row r="27" spans="2:9" x14ac:dyDescent="0.25">
      <c r="B27" s="31" t="s">
        <v>235</v>
      </c>
      <c r="C27" s="75">
        <f>'Data Sheet'!G17</f>
        <v>2592.96</v>
      </c>
      <c r="D27" s="75">
        <f>'Data Sheet'!H17</f>
        <v>4498.0200000000004</v>
      </c>
      <c r="E27" s="75">
        <f>'Data Sheet'!I17</f>
        <v>8242.02</v>
      </c>
      <c r="F27" s="75">
        <f>'Data Sheet'!J17</f>
        <v>12375.11</v>
      </c>
      <c r="G27" s="75">
        <f>'Data Sheet'!K17</f>
        <v>17134.61</v>
      </c>
      <c r="H27" s="130" t="s">
        <v>236</v>
      </c>
    </row>
    <row r="28" spans="2:9" x14ac:dyDescent="0.25">
      <c r="B28" s="76" t="s">
        <v>237</v>
      </c>
      <c r="C28" s="77"/>
      <c r="D28" s="78">
        <f>(D27/C27)-1</f>
        <v>0.73470473898556099</v>
      </c>
      <c r="E28" s="78">
        <f t="shared" ref="E28:G28" si="1">(E27/D27)-1</f>
        <v>0.83236624114610414</v>
      </c>
      <c r="F28" s="78">
        <f t="shared" si="1"/>
        <v>0.50146566011730132</v>
      </c>
      <c r="G28" s="78">
        <f t="shared" si="1"/>
        <v>0.38460264191591031</v>
      </c>
      <c r="H28" s="131">
        <f>_xlfn.RRI(4,C27,G27)</f>
        <v>0.60331775403836896</v>
      </c>
      <c r="I28" s="90"/>
    </row>
    <row r="29" spans="2:9" x14ac:dyDescent="0.25">
      <c r="B29" s="31" t="s">
        <v>238</v>
      </c>
      <c r="C29" s="75">
        <f>SUM('Data Sheet'!G18,'Data Sheet'!G20:G21)-'Data Sheet'!G19</f>
        <v>1675.4100000000003</v>
      </c>
      <c r="D29" s="75">
        <f>SUM('Data Sheet'!H18,'Data Sheet'!H20:H21)-'Data Sheet'!H19</f>
        <v>2680.5699999999997</v>
      </c>
      <c r="E29" s="75">
        <f>SUM('Data Sheet'!I18,'Data Sheet'!I20:I21)-'Data Sheet'!I19</f>
        <v>5076.0099999999993</v>
      </c>
      <c r="F29" s="75">
        <f>SUM('Data Sheet'!J18,'Data Sheet'!J20:J21)-'Data Sheet'!J19</f>
        <v>7452.64</v>
      </c>
      <c r="G29" s="75">
        <f>SUM('Data Sheet'!K18,'Data Sheet'!K20:K21)-'Data Sheet'!K19</f>
        <v>10408.800000000001</v>
      </c>
    </row>
    <row r="30" spans="2:9" x14ac:dyDescent="0.25">
      <c r="B30" s="76" t="s">
        <v>239</v>
      </c>
      <c r="C30" s="78">
        <f>C29/C27</f>
        <v>0.64613800444279912</v>
      </c>
      <c r="D30" s="78">
        <f>D29/D27</f>
        <v>0.59594443777484307</v>
      </c>
      <c r="E30" s="78">
        <f t="shared" ref="E30:G30" si="2">E29/E27</f>
        <v>0.61586965331314403</v>
      </c>
      <c r="F30" s="78">
        <f t="shared" si="2"/>
        <v>0.60222818221413787</v>
      </c>
      <c r="G30" s="78">
        <f t="shared" si="2"/>
        <v>0.60747224477242268</v>
      </c>
    </row>
    <row r="31" spans="2:9" x14ac:dyDescent="0.25">
      <c r="B31" s="79" t="s">
        <v>240</v>
      </c>
      <c r="C31" s="80">
        <f>C27-C29</f>
        <v>917.54999999999973</v>
      </c>
      <c r="D31" s="80">
        <f t="shared" ref="D31:G31" si="3">D27-D29</f>
        <v>1817.4500000000007</v>
      </c>
      <c r="E31" s="80">
        <f t="shared" si="3"/>
        <v>3166.0100000000011</v>
      </c>
      <c r="F31" s="80">
        <f t="shared" si="3"/>
        <v>4922.47</v>
      </c>
      <c r="G31" s="80">
        <f t="shared" si="3"/>
        <v>6725.8099999999995</v>
      </c>
    </row>
    <row r="32" spans="2:9" x14ac:dyDescent="0.25">
      <c r="B32" s="81" t="s">
        <v>241</v>
      </c>
      <c r="C32" s="82">
        <f>C31/C27</f>
        <v>0.35386199555720094</v>
      </c>
      <c r="D32" s="82">
        <f t="shared" ref="D32:G32" si="4">D31/D27</f>
        <v>0.40405556222515698</v>
      </c>
      <c r="E32" s="82">
        <f t="shared" si="4"/>
        <v>0.38413034668685603</v>
      </c>
      <c r="F32" s="82">
        <f t="shared" si="4"/>
        <v>0.39777181778586213</v>
      </c>
      <c r="G32" s="82">
        <f t="shared" si="4"/>
        <v>0.39252775522757738</v>
      </c>
    </row>
    <row r="33" spans="2:22" x14ac:dyDescent="0.25">
      <c r="B33" s="31" t="s">
        <v>242</v>
      </c>
      <c r="C33" s="75">
        <f>SUM('Data Sheet'!G22:G24)</f>
        <v>803.68</v>
      </c>
      <c r="D33" s="75">
        <f>SUM('Data Sheet'!H22:H24)</f>
        <v>1222.73</v>
      </c>
      <c r="E33" s="75">
        <f>SUM('Data Sheet'!I22:I24)</f>
        <v>2051.8599999999997</v>
      </c>
      <c r="F33" s="75">
        <f>SUM('Data Sheet'!J22:J24)</f>
        <v>2951.7799999999997</v>
      </c>
      <c r="G33" s="75">
        <f>SUM('Data Sheet'!K22:K24)</f>
        <v>3905.85</v>
      </c>
    </row>
    <row r="34" spans="2:22" x14ac:dyDescent="0.25">
      <c r="B34" s="76" t="s">
        <v>239</v>
      </c>
      <c r="C34" s="78">
        <f>C33/C27</f>
        <v>0.30994693323460443</v>
      </c>
      <c r="D34" s="78">
        <f t="shared" ref="D34:G34" si="5">D33/D27</f>
        <v>0.27183738622771797</v>
      </c>
      <c r="E34" s="78">
        <f t="shared" si="5"/>
        <v>0.24895110664618619</v>
      </c>
      <c r="F34" s="78">
        <f t="shared" si="5"/>
        <v>0.2385255565405075</v>
      </c>
      <c r="G34" s="78">
        <f t="shared" si="5"/>
        <v>0.22795091338524773</v>
      </c>
    </row>
    <row r="35" spans="2:22" x14ac:dyDescent="0.25">
      <c r="B35" s="79" t="s">
        <v>243</v>
      </c>
      <c r="C35" s="80">
        <f>C31-C33</f>
        <v>113.86999999999978</v>
      </c>
      <c r="D35" s="80">
        <f t="shared" ref="D35:G35" si="6">D31-D33</f>
        <v>594.72000000000071</v>
      </c>
      <c r="E35" s="80">
        <f t="shared" si="6"/>
        <v>1114.1500000000015</v>
      </c>
      <c r="F35" s="80">
        <f t="shared" si="6"/>
        <v>1970.6900000000005</v>
      </c>
      <c r="G35" s="80">
        <f t="shared" si="6"/>
        <v>2819.9599999999996</v>
      </c>
    </row>
    <row r="36" spans="2:22" x14ac:dyDescent="0.25">
      <c r="B36" s="81" t="s">
        <v>241</v>
      </c>
      <c r="C36" s="82">
        <f>C35/C27</f>
        <v>4.3915062322596482E-2</v>
      </c>
      <c r="D36" s="82">
        <f t="shared" ref="D36:G36" si="7">D35/D27</f>
        <v>0.13221817599743901</v>
      </c>
      <c r="E36" s="82">
        <f t="shared" si="7"/>
        <v>0.13517924004066981</v>
      </c>
      <c r="F36" s="82">
        <f t="shared" si="7"/>
        <v>0.15924626124535463</v>
      </c>
      <c r="G36" s="82">
        <f t="shared" si="7"/>
        <v>0.16457684184232962</v>
      </c>
    </row>
    <row r="37" spans="2:22" x14ac:dyDescent="0.25">
      <c r="B37" s="31" t="s">
        <v>244</v>
      </c>
      <c r="C37" s="75">
        <f>'Data Sheet'!G26</f>
        <v>257.3</v>
      </c>
      <c r="D37" s="75">
        <f>'Data Sheet'!H26</f>
        <v>310.82</v>
      </c>
      <c r="E37" s="75">
        <f>'Data Sheet'!I26</f>
        <v>493.69</v>
      </c>
      <c r="F37" s="75">
        <f>'Data Sheet'!J26</f>
        <v>671.11</v>
      </c>
      <c r="G37" s="75">
        <f>'Data Sheet'!K26</f>
        <v>895.18</v>
      </c>
      <c r="N37" s="31"/>
    </row>
    <row r="38" spans="2:22" x14ac:dyDescent="0.25">
      <c r="B38" s="76" t="s">
        <v>239</v>
      </c>
      <c r="C38" s="78">
        <f>C37/C27</f>
        <v>9.9230223374058998E-2</v>
      </c>
      <c r="D38" s="78">
        <f t="shared" ref="D38:G38" si="8">D37/D27</f>
        <v>6.9101515778053443E-2</v>
      </c>
      <c r="E38" s="78">
        <f t="shared" si="8"/>
        <v>5.9899150936299592E-2</v>
      </c>
      <c r="F38" s="78">
        <f t="shared" si="8"/>
        <v>5.4230629061075009E-2</v>
      </c>
      <c r="G38" s="78">
        <f t="shared" si="8"/>
        <v>5.2243967035141149E-2</v>
      </c>
      <c r="H38" s="83"/>
    </row>
    <row r="39" spans="2:22" x14ac:dyDescent="0.25">
      <c r="B39" s="79" t="s">
        <v>245</v>
      </c>
      <c r="C39" s="80">
        <f>C35-C37</f>
        <v>-143.43000000000023</v>
      </c>
      <c r="D39" s="80">
        <f t="shared" ref="D39:G39" si="9">D35-D37</f>
        <v>283.90000000000072</v>
      </c>
      <c r="E39" s="80">
        <f t="shared" si="9"/>
        <v>620.4600000000014</v>
      </c>
      <c r="F39" s="80">
        <f t="shared" si="9"/>
        <v>1299.5800000000004</v>
      </c>
      <c r="G39" s="80">
        <f t="shared" si="9"/>
        <v>1924.7799999999997</v>
      </c>
      <c r="H39" s="111"/>
    </row>
    <row r="40" spans="2:22" x14ac:dyDescent="0.25">
      <c r="B40" s="81" t="s">
        <v>241</v>
      </c>
      <c r="C40" s="82">
        <f>C39/C27</f>
        <v>-5.5315161051462509E-2</v>
      </c>
      <c r="D40" s="82">
        <f t="shared" ref="D40:G40" si="10">D39/D27</f>
        <v>6.311666021938557E-2</v>
      </c>
      <c r="E40" s="82">
        <f t="shared" si="10"/>
        <v>7.5280089104370215E-2</v>
      </c>
      <c r="F40" s="82">
        <f t="shared" si="10"/>
        <v>0.1050156321842796</v>
      </c>
      <c r="G40" s="82">
        <f t="shared" si="10"/>
        <v>0.11233287480718847</v>
      </c>
    </row>
    <row r="41" spans="2:22" x14ac:dyDescent="0.25">
      <c r="B41" s="31" t="s">
        <v>246</v>
      </c>
      <c r="C41" s="75">
        <f>'Data Sheet'!G25</f>
        <v>199.4</v>
      </c>
      <c r="D41" s="75">
        <f>'Data Sheet'!H25</f>
        <v>152.16</v>
      </c>
      <c r="E41" s="75">
        <f>'Data Sheet'!I25</f>
        <v>340.6</v>
      </c>
      <c r="F41" s="75">
        <f>'Data Sheet'!J25</f>
        <v>988.91</v>
      </c>
      <c r="G41" s="75">
        <f>'Data Sheet'!K25</f>
        <v>305.06</v>
      </c>
      <c r="N41" s="31"/>
    </row>
    <row r="42" spans="2:22" x14ac:dyDescent="0.25">
      <c r="B42" s="31" t="s">
        <v>247</v>
      </c>
      <c r="C42" s="75">
        <f>'Data Sheet'!G27</f>
        <v>260.79000000000002</v>
      </c>
      <c r="D42" s="75">
        <f>'Data Sheet'!H27</f>
        <v>324.83999999999997</v>
      </c>
      <c r="E42" s="75">
        <f>'Data Sheet'!I27</f>
        <v>408.99</v>
      </c>
      <c r="F42" s="75">
        <f>'Data Sheet'!J27</f>
        <v>367.66</v>
      </c>
      <c r="G42" s="75">
        <f>'Data Sheet'!K27</f>
        <v>200.1</v>
      </c>
    </row>
    <row r="43" spans="2:22" x14ac:dyDescent="0.25">
      <c r="B43" s="76" t="s">
        <v>248</v>
      </c>
      <c r="C43" s="78">
        <f>C42/'Data Sheet'!G60</f>
        <v>8.3834549002337055E-2</v>
      </c>
      <c r="D43" s="78">
        <f>D42/'Data Sheet'!H60</f>
        <v>0.51022523796060693</v>
      </c>
      <c r="E43" s="78">
        <f>E42/'Data Sheet'!I60</f>
        <v>0.40022507094627657</v>
      </c>
      <c r="F43" s="78">
        <f>F42/'Data Sheet'!J60</f>
        <v>0.27416444199191664</v>
      </c>
      <c r="G43" s="78">
        <f>G42/'Data Sheet'!K60</f>
        <v>0.11628920619976638</v>
      </c>
    </row>
    <row r="44" spans="2:22" x14ac:dyDescent="0.25">
      <c r="B44" s="79" t="s">
        <v>249</v>
      </c>
      <c r="C44" s="80">
        <f>C39+C41-C42</f>
        <v>-204.82000000000025</v>
      </c>
      <c r="D44" s="80">
        <f t="shared" ref="D44:G44" si="11">D39+D41-D42</f>
        <v>111.22000000000077</v>
      </c>
      <c r="E44" s="80">
        <f t="shared" si="11"/>
        <v>552.07000000000141</v>
      </c>
      <c r="F44" s="80">
        <f t="shared" si="11"/>
        <v>1920.8300000000002</v>
      </c>
      <c r="G44" s="80">
        <f t="shared" si="11"/>
        <v>2029.7399999999998</v>
      </c>
    </row>
    <row r="45" spans="2:22" x14ac:dyDescent="0.25">
      <c r="B45" s="81" t="s">
        <v>239</v>
      </c>
      <c r="C45" s="82">
        <f>C44/C27</f>
        <v>-7.8990805874367617E-2</v>
      </c>
      <c r="D45" s="82">
        <f t="shared" ref="D45:G45" si="12">D44/D27</f>
        <v>2.4726435187038018E-2</v>
      </c>
      <c r="E45" s="82">
        <f t="shared" si="12"/>
        <v>6.698236597339019E-2</v>
      </c>
      <c r="F45" s="82">
        <f t="shared" si="12"/>
        <v>0.15521720615008675</v>
      </c>
      <c r="G45" s="82">
        <f t="shared" si="12"/>
        <v>0.11845848840446323</v>
      </c>
      <c r="N45" s="31"/>
    </row>
    <row r="46" spans="2:22" x14ac:dyDescent="0.25">
      <c r="B46" s="31" t="s">
        <v>250</v>
      </c>
      <c r="C46" s="75">
        <f>'Data Sheet'!G29</f>
        <v>-23.69</v>
      </c>
      <c r="D46" s="75">
        <f>'Data Sheet'!H29</f>
        <v>76.62</v>
      </c>
      <c r="E46" s="75">
        <f>'Data Sheet'!I29</f>
        <v>158.44</v>
      </c>
      <c r="F46" s="75">
        <f>'Data Sheet'!J29</f>
        <v>443.37</v>
      </c>
      <c r="G46" s="75">
        <f>'Data Sheet'!K29</f>
        <v>495.33</v>
      </c>
      <c r="N46" s="137"/>
      <c r="O46" s="137"/>
      <c r="P46" s="137"/>
      <c r="Q46" s="137"/>
      <c r="R46" s="137"/>
      <c r="S46" s="137"/>
      <c r="T46" s="137"/>
      <c r="U46" s="137"/>
      <c r="V46" s="137"/>
    </row>
    <row r="47" spans="2:22" x14ac:dyDescent="0.25">
      <c r="B47" s="76" t="s">
        <v>251</v>
      </c>
      <c r="C47" s="78">
        <f>C46/C44</f>
        <v>0.11566253295576591</v>
      </c>
      <c r="D47" s="78">
        <f t="shared" ref="D47:G47" si="13">D46/D44</f>
        <v>0.68890487322423555</v>
      </c>
      <c r="E47" s="78">
        <f t="shared" si="13"/>
        <v>0.28699259151919065</v>
      </c>
      <c r="F47" s="78">
        <f t="shared" si="13"/>
        <v>0.23082209253291544</v>
      </c>
      <c r="G47" s="78">
        <f t="shared" si="13"/>
        <v>0.24403618197404595</v>
      </c>
      <c r="N47" s="137"/>
      <c r="O47" s="137"/>
      <c r="P47" s="137"/>
      <c r="Q47" s="137"/>
      <c r="R47" s="137"/>
      <c r="S47" s="137"/>
      <c r="T47" s="137"/>
      <c r="U47" s="137"/>
      <c r="V47" s="137"/>
    </row>
    <row r="48" spans="2:22" x14ac:dyDescent="0.25">
      <c r="B48" s="79" t="s">
        <v>252</v>
      </c>
      <c r="C48" s="80">
        <f>C44-C46</f>
        <v>-181.13000000000025</v>
      </c>
      <c r="D48" s="80">
        <f t="shared" ref="D48:G48" si="14">D44-D46</f>
        <v>34.600000000000762</v>
      </c>
      <c r="E48" s="80">
        <f t="shared" si="14"/>
        <v>393.63000000000142</v>
      </c>
      <c r="F48" s="80">
        <f t="shared" si="14"/>
        <v>1477.46</v>
      </c>
      <c r="G48" s="80">
        <f t="shared" si="14"/>
        <v>1534.4099999999999</v>
      </c>
      <c r="N48" s="137"/>
      <c r="O48" s="137"/>
      <c r="P48" s="137"/>
      <c r="Q48" s="137"/>
      <c r="R48" s="137"/>
      <c r="S48" s="137"/>
      <c r="T48" s="137"/>
      <c r="U48" s="137"/>
      <c r="V48" s="137"/>
    </row>
    <row r="49" spans="2:22" x14ac:dyDescent="0.25">
      <c r="B49" s="81" t="s">
        <v>239</v>
      </c>
      <c r="C49" s="82">
        <f>C48/C27</f>
        <v>-6.9854529186721068E-2</v>
      </c>
      <c r="D49" s="82">
        <f t="shared" ref="D49:G49" si="15">D48/D27</f>
        <v>7.6922734892243159E-3</v>
      </c>
      <c r="E49" s="82">
        <f t="shared" si="15"/>
        <v>4.7758923176600084E-2</v>
      </c>
      <c r="F49" s="82">
        <f t="shared" si="15"/>
        <v>0.11938964582941081</v>
      </c>
      <c r="G49" s="82">
        <f t="shared" si="15"/>
        <v>8.9550331171821235E-2</v>
      </c>
      <c r="N49" s="137"/>
      <c r="O49" s="137"/>
      <c r="P49" s="137"/>
      <c r="Q49" s="137"/>
      <c r="R49" s="137"/>
      <c r="S49" s="137"/>
      <c r="T49" s="137"/>
      <c r="U49" s="137"/>
      <c r="V49" s="137"/>
    </row>
    <row r="50" spans="2:22" x14ac:dyDescent="0.25">
      <c r="B50" s="31"/>
      <c r="N50" s="137"/>
      <c r="O50" s="137"/>
      <c r="P50" s="137"/>
      <c r="Q50" s="137"/>
      <c r="R50" s="137"/>
      <c r="S50" s="137"/>
      <c r="T50" s="137"/>
      <c r="U50" s="137"/>
      <c r="V50" s="137"/>
    </row>
    <row r="51" spans="2:22" x14ac:dyDescent="0.25">
      <c r="B51" s="74" t="s">
        <v>253</v>
      </c>
      <c r="N51" s="137"/>
      <c r="O51" s="137"/>
      <c r="P51" s="137"/>
      <c r="Q51" s="137"/>
      <c r="R51" s="137"/>
      <c r="S51" s="137"/>
      <c r="T51" s="137"/>
      <c r="U51" s="137"/>
      <c r="V51" s="137"/>
    </row>
    <row r="52" spans="2:22" x14ac:dyDescent="0.25">
      <c r="B52" s="69" t="s">
        <v>198</v>
      </c>
      <c r="C52" s="70">
        <v>2021</v>
      </c>
      <c r="D52" s="70">
        <f>C52+1</f>
        <v>2022</v>
      </c>
      <c r="E52" s="70">
        <f t="shared" ref="E52:G52" si="16">D52+1</f>
        <v>2023</v>
      </c>
      <c r="F52" s="70">
        <f t="shared" si="16"/>
        <v>2024</v>
      </c>
      <c r="G52" s="70">
        <f t="shared" si="16"/>
        <v>2025</v>
      </c>
      <c r="N52" s="84"/>
      <c r="O52" s="84"/>
      <c r="P52" s="84"/>
      <c r="Q52" s="84"/>
      <c r="R52" s="84"/>
      <c r="S52" s="84"/>
      <c r="T52" s="84"/>
      <c r="U52" s="84"/>
      <c r="V52" s="84"/>
    </row>
    <row r="53" spans="2:22" ht="15" customHeight="1" x14ac:dyDescent="0.25">
      <c r="B53" s="73" t="s">
        <v>254</v>
      </c>
      <c r="C53" s="75">
        <f>'Data Sheet'!G57</f>
        <v>35.549999999999997</v>
      </c>
      <c r="D53" s="75">
        <f>'Data Sheet'!H57</f>
        <v>35.549999999999997</v>
      </c>
      <c r="E53" s="75">
        <f>'Data Sheet'!I57</f>
        <v>35.549999999999997</v>
      </c>
      <c r="F53" s="75">
        <f>'Data Sheet'!J57</f>
        <v>35.549999999999997</v>
      </c>
      <c r="G53" s="75">
        <f>'Data Sheet'!K57</f>
        <v>35.549999999999997</v>
      </c>
      <c r="N53" s="84"/>
      <c r="O53" s="84"/>
      <c r="P53" s="84"/>
      <c r="Q53" s="84"/>
      <c r="R53" s="84"/>
      <c r="S53" s="84"/>
      <c r="T53" s="84"/>
      <c r="U53" s="84"/>
      <c r="V53" s="84"/>
    </row>
    <row r="54" spans="2:22" ht="15" customHeight="1" x14ac:dyDescent="0.25">
      <c r="B54" s="73" t="s">
        <v>170</v>
      </c>
      <c r="C54" s="75">
        <f>'Data Sheet'!G58</f>
        <v>2277.48</v>
      </c>
      <c r="D54" s="75">
        <f>'Data Sheet'!H58</f>
        <v>2328.4499999999998</v>
      </c>
      <c r="E54" s="75">
        <f>'Data Sheet'!I58</f>
        <v>2559.94</v>
      </c>
      <c r="F54" s="75">
        <f>'Data Sheet'!J58</f>
        <v>4032.19</v>
      </c>
      <c r="G54" s="75">
        <f>'Data Sheet'!K58</f>
        <v>5426.19</v>
      </c>
      <c r="J54" t="s">
        <v>0</v>
      </c>
      <c r="N54" s="84"/>
      <c r="O54" s="84"/>
      <c r="P54" s="84"/>
      <c r="Q54" s="84"/>
      <c r="R54" s="84"/>
      <c r="S54" s="84"/>
      <c r="T54" s="84"/>
      <c r="U54" s="84"/>
      <c r="V54" s="84"/>
    </row>
    <row r="55" spans="2:22" ht="15" customHeight="1" x14ac:dyDescent="0.25">
      <c r="B55" s="73" t="s">
        <v>255</v>
      </c>
      <c r="C55" s="75">
        <f>'Data Sheet'!G59</f>
        <v>299.93</v>
      </c>
      <c r="D55" s="75">
        <f>'Data Sheet'!H59</f>
        <v>4725.3599999999997</v>
      </c>
      <c r="E55" s="75">
        <f>'Data Sheet'!I59</f>
        <v>4464.1400000000003</v>
      </c>
      <c r="F55" s="75">
        <f>'Data Sheet'!J59</f>
        <v>1752.99</v>
      </c>
      <c r="G55" s="75">
        <f>'Data Sheet'!K59</f>
        <v>2237.19</v>
      </c>
    </row>
    <row r="56" spans="2:22" ht="15" customHeight="1" x14ac:dyDescent="0.25">
      <c r="B56" t="s">
        <v>256</v>
      </c>
      <c r="C56" s="75">
        <f>'Data Sheet'!G60</f>
        <v>3110.77</v>
      </c>
      <c r="D56" s="75">
        <f>'Data Sheet'!H60</f>
        <v>636.66</v>
      </c>
      <c r="E56" s="75">
        <f>'Data Sheet'!I60</f>
        <v>1021.9</v>
      </c>
      <c r="F56" s="75">
        <f>'Data Sheet'!J60</f>
        <v>1341.02</v>
      </c>
      <c r="G56" s="75">
        <f>'Data Sheet'!K60</f>
        <v>1720.71</v>
      </c>
    </row>
    <row r="57" spans="2:22" ht="15" customHeight="1" x14ac:dyDescent="0.25">
      <c r="B57" s="85" t="s">
        <v>138</v>
      </c>
      <c r="C57" s="80">
        <f>SUM(C53:C56)</f>
        <v>5723.73</v>
      </c>
      <c r="D57" s="80">
        <f t="shared" ref="D57:G57" si="17">SUM(D53:D56)</f>
        <v>7726.0199999999995</v>
      </c>
      <c r="E57" s="80">
        <f t="shared" si="17"/>
        <v>8081.5300000000007</v>
      </c>
      <c r="F57" s="80">
        <f t="shared" si="17"/>
        <v>7161.75</v>
      </c>
      <c r="G57" s="80">
        <f t="shared" si="17"/>
        <v>9419.64</v>
      </c>
    </row>
    <row r="58" spans="2:22" ht="15" customHeight="1" x14ac:dyDescent="0.25">
      <c r="B58" t="s">
        <v>202</v>
      </c>
      <c r="C58" s="75">
        <f>'Data Sheet'!G62</f>
        <v>3053.82</v>
      </c>
      <c r="D58" s="75">
        <f>'Data Sheet'!H62</f>
        <v>4686.71</v>
      </c>
      <c r="E58" s="75">
        <f>'Data Sheet'!I62</f>
        <v>4526.95</v>
      </c>
      <c r="F58" s="75">
        <f>'Data Sheet'!J62</f>
        <v>2449.92</v>
      </c>
      <c r="G58" s="75">
        <f>'Data Sheet'!K62</f>
        <v>3895.13</v>
      </c>
    </row>
    <row r="59" spans="2:22" ht="15" customHeight="1" x14ac:dyDescent="0.25">
      <c r="B59" s="73" t="s">
        <v>257</v>
      </c>
      <c r="C59" s="75">
        <f>'Data Sheet'!G63</f>
        <v>107.98</v>
      </c>
      <c r="D59" s="75">
        <f>'Data Sheet'!H63</f>
        <v>104.72</v>
      </c>
      <c r="E59" s="75">
        <f>'Data Sheet'!I63</f>
        <v>101.72</v>
      </c>
      <c r="F59" s="75">
        <f>'Data Sheet'!J63</f>
        <v>223.78</v>
      </c>
      <c r="G59" s="75">
        <f>'Data Sheet'!K63</f>
        <v>179.5</v>
      </c>
    </row>
    <row r="60" spans="2:22" ht="15" customHeight="1" x14ac:dyDescent="0.25">
      <c r="B60" s="73" t="s">
        <v>191</v>
      </c>
      <c r="C60" s="75">
        <f>'Data Sheet'!G64</f>
        <v>1487.29</v>
      </c>
      <c r="D60" s="75">
        <f>'Data Sheet'!H64</f>
        <v>1283.72</v>
      </c>
      <c r="E60" s="75">
        <f>'Data Sheet'!I64</f>
        <v>1109.8699999999999</v>
      </c>
      <c r="F60" s="75">
        <f>'Data Sheet'!J64</f>
        <v>1416.03</v>
      </c>
      <c r="G60" s="75">
        <f>'Data Sheet'!K64</f>
        <v>1480.25</v>
      </c>
    </row>
    <row r="61" spans="2:22" ht="15" customHeight="1" x14ac:dyDescent="0.25">
      <c r="B61" s="73" t="s">
        <v>258</v>
      </c>
      <c r="C61" s="75">
        <f>'Data Sheet'!G67</f>
        <v>20.77</v>
      </c>
      <c r="D61" s="75">
        <f>'Data Sheet'!H67</f>
        <v>18.260000000000002</v>
      </c>
      <c r="E61" s="75">
        <f>'Data Sheet'!I67</f>
        <v>34.39</v>
      </c>
      <c r="F61" s="75">
        <f>'Data Sheet'!J67</f>
        <v>81.739999999999995</v>
      </c>
      <c r="G61" s="75">
        <f>'Data Sheet'!K67</f>
        <v>62.95</v>
      </c>
    </row>
    <row r="62" spans="2:22" ht="15" customHeight="1" x14ac:dyDescent="0.25">
      <c r="B62" s="73" t="s">
        <v>259</v>
      </c>
      <c r="C62" s="75">
        <f>'Data Sheet'!G68</f>
        <v>428.39</v>
      </c>
      <c r="D62" s="75">
        <f>'Data Sheet'!H68</f>
        <v>867.78</v>
      </c>
      <c r="E62" s="75">
        <f>'Data Sheet'!I68</f>
        <v>1361.16</v>
      </c>
      <c r="F62" s="75">
        <f>'Data Sheet'!J68</f>
        <v>1582.73</v>
      </c>
      <c r="G62" s="75">
        <f>'Data Sheet'!K68</f>
        <v>2045.05</v>
      </c>
    </row>
    <row r="63" spans="2:22" ht="15" customHeight="1" x14ac:dyDescent="0.25">
      <c r="B63" s="73" t="s">
        <v>260</v>
      </c>
      <c r="C63" s="75">
        <f>'Data Sheet'!G69</f>
        <v>81.47</v>
      </c>
      <c r="D63" s="75">
        <f>'Data Sheet'!H69</f>
        <v>85.97</v>
      </c>
      <c r="E63" s="75">
        <f>'Data Sheet'!I69</f>
        <v>86.3</v>
      </c>
      <c r="F63" s="75">
        <f>'Data Sheet'!J69</f>
        <v>297.56</v>
      </c>
      <c r="G63" s="75">
        <f>'Data Sheet'!K69</f>
        <v>339.84</v>
      </c>
    </row>
    <row r="64" spans="2:22" ht="15" customHeight="1" x14ac:dyDescent="0.25">
      <c r="B64" t="s">
        <v>261</v>
      </c>
      <c r="C64" s="75">
        <f>'Data Sheet'!G65-SUM('Data Sheet'!G67:G69)</f>
        <v>544.0100000000001</v>
      </c>
      <c r="D64" s="75">
        <f>'Data Sheet'!H65-SUM('Data Sheet'!H67:H69)</f>
        <v>678.8599999999999</v>
      </c>
      <c r="E64" s="75">
        <f>'Data Sheet'!I65-SUM('Data Sheet'!I67:I69)</f>
        <v>861.13999999999965</v>
      </c>
      <c r="F64" s="75">
        <f>'Data Sheet'!J65-SUM('Data Sheet'!J67:J69)</f>
        <v>1109.99</v>
      </c>
      <c r="G64" s="75">
        <f>'Data Sheet'!K65-SUM('Data Sheet'!K67:K69)</f>
        <v>1416.92</v>
      </c>
    </row>
    <row r="65" spans="2:7" x14ac:dyDescent="0.25">
      <c r="B65" s="79" t="s">
        <v>138</v>
      </c>
      <c r="C65" s="80">
        <f>SUM(C58:C64)</f>
        <v>5723.7300000000014</v>
      </c>
      <c r="D65" s="80">
        <f t="shared" ref="D65:G65" si="18">SUM(D58:D64)</f>
        <v>7726.02</v>
      </c>
      <c r="E65" s="80">
        <f t="shared" si="18"/>
        <v>8081.53</v>
      </c>
      <c r="F65" s="80">
        <f t="shared" si="18"/>
        <v>7161.7500000000009</v>
      </c>
      <c r="G65" s="80">
        <f t="shared" si="18"/>
        <v>9419.64</v>
      </c>
    </row>
    <row r="67" spans="2:7" x14ac:dyDescent="0.25">
      <c r="B67" s="66" t="s">
        <v>262</v>
      </c>
      <c r="C67" s="1"/>
      <c r="D67" s="1"/>
      <c r="E67" s="1"/>
    </row>
    <row r="68" spans="2:7" x14ac:dyDescent="0.25">
      <c r="B68" s="69" t="s">
        <v>198</v>
      </c>
      <c r="C68" s="86">
        <v>26</v>
      </c>
      <c r="D68" s="86">
        <f>C68+1</f>
        <v>27</v>
      </c>
      <c r="E68" s="86">
        <f t="shared" ref="E68:G68" si="19">D68+1</f>
        <v>28</v>
      </c>
      <c r="F68" s="86">
        <f t="shared" si="19"/>
        <v>29</v>
      </c>
      <c r="G68" s="86">
        <f t="shared" si="19"/>
        <v>30</v>
      </c>
    </row>
    <row r="69" spans="2:7" x14ac:dyDescent="0.25">
      <c r="B69" t="s">
        <v>263</v>
      </c>
      <c r="C69" s="37">
        <f t="array" ref="C69:G69">CHOOSE(D71,C72:G72,C73:G73,C74:G74)</f>
        <v>0.21</v>
      </c>
      <c r="D69" s="37">
        <v>0.19</v>
      </c>
      <c r="E69" s="37">
        <v>0.17</v>
      </c>
      <c r="F69" s="37">
        <v>0.15000000000000002</v>
      </c>
      <c r="G69" s="37">
        <v>0.13000000000000003</v>
      </c>
    </row>
    <row r="70" spans="2:7" x14ac:dyDescent="0.25">
      <c r="B70" t="s">
        <v>264</v>
      </c>
      <c r="C70" s="87">
        <f>G27*(1+C69)</f>
        <v>20732.878100000002</v>
      </c>
      <c r="D70" s="87">
        <f>C70*(1+D69)</f>
        <v>24672.124939000001</v>
      </c>
      <c r="E70" s="87">
        <f t="shared" ref="E70:G70" si="20">D70*(1+E69)</f>
        <v>28866.38617863</v>
      </c>
      <c r="F70" s="87">
        <f t="shared" si="20"/>
        <v>33196.344105424498</v>
      </c>
      <c r="G70" s="87">
        <f t="shared" si="20"/>
        <v>37511.868839129689</v>
      </c>
    </row>
    <row r="71" spans="2:7" x14ac:dyDescent="0.25">
      <c r="C71" s="88" t="s">
        <v>265</v>
      </c>
      <c r="D71" s="89">
        <f>MATCH(C71,B72:B74,0)</f>
        <v>1</v>
      </c>
    </row>
    <row r="72" spans="2:7" x14ac:dyDescent="0.25">
      <c r="B72" t="s">
        <v>265</v>
      </c>
      <c r="C72" s="42">
        <f>C16</f>
        <v>0.21</v>
      </c>
      <c r="D72" s="42">
        <f>C72-$C$17</f>
        <v>0.19</v>
      </c>
      <c r="E72" s="42">
        <f t="shared" ref="E72:G72" si="21">D72-$C$17</f>
        <v>0.17</v>
      </c>
      <c r="F72" s="42">
        <f t="shared" si="21"/>
        <v>0.15000000000000002</v>
      </c>
      <c r="G72" s="42">
        <f t="shared" si="21"/>
        <v>0.13000000000000003</v>
      </c>
    </row>
    <row r="73" spans="2:7" x14ac:dyDescent="0.25">
      <c r="B73" t="s">
        <v>266</v>
      </c>
      <c r="C73" s="42">
        <f>C72+4%</f>
        <v>0.25</v>
      </c>
      <c r="D73" s="42">
        <f t="shared" ref="D73:G73" si="22">C73-$C$17</f>
        <v>0.23</v>
      </c>
      <c r="E73" s="42">
        <f t="shared" si="22"/>
        <v>0.21000000000000002</v>
      </c>
      <c r="F73" s="42">
        <f t="shared" si="22"/>
        <v>0.19000000000000003</v>
      </c>
      <c r="G73" s="42">
        <f t="shared" si="22"/>
        <v>0.17000000000000004</v>
      </c>
    </row>
    <row r="74" spans="2:7" x14ac:dyDescent="0.25">
      <c r="B74" t="s">
        <v>267</v>
      </c>
      <c r="C74" s="42">
        <f>C72-4%</f>
        <v>0.16999999999999998</v>
      </c>
      <c r="D74" s="42">
        <f>C74-Annual_Growth_Tapering</f>
        <v>0.15</v>
      </c>
      <c r="E74" s="42">
        <f>D74-Annual_Growth_Tapering</f>
        <v>0.13</v>
      </c>
      <c r="F74" s="42">
        <f>E74-Annual_Growth_Tapering</f>
        <v>0.11</v>
      </c>
      <c r="G74" s="42">
        <f>F74-Annual_Growth_Tapering</f>
        <v>0.09</v>
      </c>
    </row>
    <row r="76" spans="2:7" x14ac:dyDescent="0.25">
      <c r="B76" s="66" t="s">
        <v>268</v>
      </c>
      <c r="C76" s="1"/>
      <c r="D76" s="1"/>
      <c r="E76" s="1"/>
    </row>
    <row r="77" spans="2:7" x14ac:dyDescent="0.25">
      <c r="B77" s="69" t="s">
        <v>198</v>
      </c>
      <c r="C77" s="86">
        <v>26</v>
      </c>
      <c r="D77" s="86">
        <f>C77+1</f>
        <v>27</v>
      </c>
      <c r="E77" s="86">
        <f t="shared" ref="E77:G77" si="23">D77+1</f>
        <v>28</v>
      </c>
      <c r="F77" s="86">
        <f t="shared" si="23"/>
        <v>29</v>
      </c>
      <c r="G77" s="86">
        <f t="shared" si="23"/>
        <v>30</v>
      </c>
    </row>
    <row r="78" spans="2:7" x14ac:dyDescent="0.25">
      <c r="B78" t="s">
        <v>269</v>
      </c>
      <c r="C78" s="87">
        <f>C70</f>
        <v>20732.878100000002</v>
      </c>
      <c r="D78" s="87">
        <f t="shared" ref="D78:G78" si="24">D70</f>
        <v>24672.124939000001</v>
      </c>
      <c r="E78" s="87">
        <f t="shared" si="24"/>
        <v>28866.38617863</v>
      </c>
      <c r="F78" s="87">
        <f t="shared" si="24"/>
        <v>33196.344105424498</v>
      </c>
      <c r="G78" s="87">
        <f t="shared" si="24"/>
        <v>37511.868839129689</v>
      </c>
    </row>
    <row r="79" spans="2:7" x14ac:dyDescent="0.25">
      <c r="B79" t="s">
        <v>270</v>
      </c>
      <c r="C79" s="90">
        <f>G36</f>
        <v>0.16457684184232962</v>
      </c>
      <c r="D79" s="90">
        <f>C79</f>
        <v>0.16457684184232962</v>
      </c>
      <c r="E79" s="90">
        <f t="shared" ref="E79:G79" si="25">D79</f>
        <v>0.16457684184232962</v>
      </c>
      <c r="F79" s="90">
        <f t="shared" si="25"/>
        <v>0.16457684184232962</v>
      </c>
      <c r="G79" s="90">
        <f t="shared" si="25"/>
        <v>0.16457684184232962</v>
      </c>
    </row>
    <row r="80" spans="2:7" x14ac:dyDescent="0.25">
      <c r="B80" t="s">
        <v>243</v>
      </c>
      <c r="C80" s="87">
        <f>C78*C79</f>
        <v>3412.1515999999997</v>
      </c>
      <c r="D80" s="87">
        <f t="shared" ref="D80:G80" si="26">D78*D79</f>
        <v>4060.4604039999995</v>
      </c>
      <c r="E80" s="87">
        <f t="shared" si="26"/>
        <v>4750.7386726799996</v>
      </c>
      <c r="F80" s="87">
        <f t="shared" si="26"/>
        <v>5463.3494735819986</v>
      </c>
      <c r="G80" s="87">
        <f t="shared" si="26"/>
        <v>6173.5849051476598</v>
      </c>
    </row>
    <row r="81" spans="2:10" x14ac:dyDescent="0.25">
      <c r="B81" t="s">
        <v>271</v>
      </c>
      <c r="C81" s="87">
        <f>C78*AVERAGE($C$38:$G$38)</f>
        <v>1387.8816088934261</v>
      </c>
      <c r="D81" s="87">
        <f t="shared" ref="D81:G81" si="27">D78*AVERAGE($C$38:$G$38)</f>
        <v>1651.579114583177</v>
      </c>
      <c r="E81" s="87">
        <f t="shared" si="27"/>
        <v>1932.3475640623171</v>
      </c>
      <c r="F81" s="87">
        <f t="shared" si="27"/>
        <v>2222.1996986716645</v>
      </c>
      <c r="G81" s="87">
        <f t="shared" si="27"/>
        <v>2511.0856594989814</v>
      </c>
    </row>
    <row r="82" spans="2:10" x14ac:dyDescent="0.25">
      <c r="B82" t="s">
        <v>245</v>
      </c>
      <c r="C82" s="87">
        <f>C80-C81</f>
        <v>2024.2699911065736</v>
      </c>
      <c r="D82" s="87">
        <f t="shared" ref="D82:G82" si="28">D80-D81</f>
        <v>2408.8812894168223</v>
      </c>
      <c r="E82" s="87">
        <f t="shared" si="28"/>
        <v>2818.3911086176822</v>
      </c>
      <c r="F82" s="87">
        <f t="shared" si="28"/>
        <v>3241.1497749103341</v>
      </c>
      <c r="G82" s="87">
        <f t="shared" si="28"/>
        <v>3662.4992456486784</v>
      </c>
      <c r="H82" s="37"/>
    </row>
    <row r="83" spans="2:10" x14ac:dyDescent="0.25">
      <c r="B83" t="s">
        <v>272</v>
      </c>
      <c r="C83" s="87">
        <f>C82*Tax_rate</f>
        <v>506.06749777664339</v>
      </c>
      <c r="D83" s="87">
        <f>D82*Tax_rate</f>
        <v>602.22032235420556</v>
      </c>
      <c r="E83" s="87">
        <f>E82*Tax_rate</f>
        <v>704.59777715442056</v>
      </c>
      <c r="F83" s="87">
        <f>F82*Tax_rate</f>
        <v>810.28744372758354</v>
      </c>
      <c r="G83" s="87">
        <f>G82*Tax_rate</f>
        <v>915.62481141216961</v>
      </c>
    </row>
    <row r="84" spans="2:10" x14ac:dyDescent="0.25">
      <c r="B84" t="s">
        <v>273</v>
      </c>
      <c r="C84" s="87">
        <f>C82-C83</f>
        <v>1518.2024933299301</v>
      </c>
      <c r="D84" s="87">
        <f t="shared" ref="D84:G84" si="29">D82-D83</f>
        <v>1806.6609670626167</v>
      </c>
      <c r="E84" s="87">
        <f t="shared" si="29"/>
        <v>2113.7933314632619</v>
      </c>
      <c r="F84" s="87">
        <f t="shared" si="29"/>
        <v>2430.8623311827505</v>
      </c>
      <c r="G84" s="87">
        <f t="shared" si="29"/>
        <v>2746.8744342365089</v>
      </c>
    </row>
    <row r="85" spans="2:10" x14ac:dyDescent="0.25">
      <c r="B85" t="s">
        <v>274</v>
      </c>
      <c r="C85" s="87">
        <f>C81</f>
        <v>1387.8816088934261</v>
      </c>
      <c r="D85" s="87">
        <f t="shared" ref="D85:G85" si="30">D81</f>
        <v>1651.579114583177</v>
      </c>
      <c r="E85" s="87">
        <f t="shared" si="30"/>
        <v>1932.3475640623171</v>
      </c>
      <c r="F85" s="87">
        <f t="shared" si="30"/>
        <v>2222.1996986716645</v>
      </c>
      <c r="G85" s="87">
        <f t="shared" si="30"/>
        <v>2511.0856594989814</v>
      </c>
    </row>
    <row r="86" spans="2:10" x14ac:dyDescent="0.25">
      <c r="B86" t="s">
        <v>275</v>
      </c>
      <c r="C86" s="91">
        <f>-C84*50%</f>
        <v>-759.10124666496506</v>
      </c>
      <c r="D86" s="91">
        <f>-D84*50%</f>
        <v>-903.33048353130835</v>
      </c>
      <c r="E86" s="91">
        <f t="shared" ref="E86:G86" si="31">-E84*50%</f>
        <v>-1056.8966657316309</v>
      </c>
      <c r="F86" s="91">
        <f t="shared" si="31"/>
        <v>-1215.4311655913752</v>
      </c>
      <c r="G86" s="91">
        <f t="shared" si="31"/>
        <v>-1373.4372171182545</v>
      </c>
    </row>
    <row r="87" spans="2:10" x14ac:dyDescent="0.25">
      <c r="B87" s="92" t="s">
        <v>276</v>
      </c>
      <c r="C87" s="93">
        <f>SUM(C84:C86)</f>
        <v>2146.9828555583913</v>
      </c>
      <c r="D87" s="93">
        <f t="shared" ref="D87:G87" si="32">SUM(D84:D86)</f>
        <v>2554.9095981144856</v>
      </c>
      <c r="E87" s="93">
        <f t="shared" si="32"/>
        <v>2989.2442297939483</v>
      </c>
      <c r="F87" s="93">
        <f t="shared" si="32"/>
        <v>3437.6308642630393</v>
      </c>
      <c r="G87" s="93">
        <f t="shared" si="32"/>
        <v>3884.5228766172354</v>
      </c>
    </row>
    <row r="88" spans="2:10" x14ac:dyDescent="0.25">
      <c r="C88" s="87"/>
      <c r="D88" s="87"/>
      <c r="E88" s="87"/>
      <c r="F88" s="87"/>
      <c r="G88" s="87"/>
    </row>
    <row r="89" spans="2:10" s="127" customFormat="1" ht="15" customHeight="1" x14ac:dyDescent="0.25">
      <c r="B89" s="66" t="s">
        <v>1</v>
      </c>
      <c r="C89" s="126"/>
      <c r="D89" s="126"/>
      <c r="E89" s="126"/>
      <c r="F89" s="126"/>
      <c r="G89" s="126"/>
      <c r="H89" s="126"/>
      <c r="I89" s="126"/>
      <c r="J89" s="126"/>
    </row>
    <row r="91" spans="2:10" x14ac:dyDescent="0.25">
      <c r="B91" s="2" t="s">
        <v>2</v>
      </c>
    </row>
    <row r="93" spans="2:10" x14ac:dyDescent="0.25">
      <c r="B93" s="31" t="s">
        <v>3</v>
      </c>
    </row>
    <row r="94" spans="2:10" x14ac:dyDescent="0.25">
      <c r="B94" s="69"/>
      <c r="C94" s="69"/>
      <c r="D94" s="69"/>
      <c r="E94" s="69"/>
      <c r="F94" s="69"/>
      <c r="G94" s="69" t="s">
        <v>4</v>
      </c>
      <c r="H94" s="69" t="s">
        <v>5</v>
      </c>
      <c r="I94" s="69" t="s">
        <v>6</v>
      </c>
      <c r="J94" s="69" t="s">
        <v>7</v>
      </c>
    </row>
    <row r="95" spans="2:10" ht="17.25" x14ac:dyDescent="0.25">
      <c r="B95" s="69" t="s">
        <v>8</v>
      </c>
      <c r="C95" s="69" t="s">
        <v>9</v>
      </c>
      <c r="D95" s="69" t="s">
        <v>10</v>
      </c>
      <c r="E95" s="69" t="s">
        <v>11</v>
      </c>
      <c r="F95" s="69" t="s">
        <v>12</v>
      </c>
      <c r="G95" s="69" t="s">
        <v>13</v>
      </c>
      <c r="H95" s="69" t="s">
        <v>14</v>
      </c>
      <c r="I95" s="69" t="s">
        <v>15</v>
      </c>
      <c r="J95" s="69" t="s">
        <v>16</v>
      </c>
    </row>
    <row r="97" spans="2:10" x14ac:dyDescent="0.25">
      <c r="B97" t="s">
        <v>17</v>
      </c>
      <c r="C97" t="s">
        <v>18</v>
      </c>
      <c r="D97" s="4">
        <f>'Beta - Comps'!F6</f>
        <v>2348.5700000000002</v>
      </c>
      <c r="E97" s="4">
        <f>'Beta - Comps'!E6</f>
        <v>132557.76999999999</v>
      </c>
      <c r="F97" s="5">
        <f>Tax_rate</f>
        <v>0.25</v>
      </c>
      <c r="G97" s="6">
        <f>D97/E97</f>
        <v>1.7717331847088257E-2</v>
      </c>
      <c r="H97" s="6">
        <f>D97/(D97+E97)</f>
        <v>1.7408892717718085E-2</v>
      </c>
      <c r="I97" s="7">
        <f>'Trent- Beta Regression'!$M$13</f>
        <v>-0.35335639544475667</v>
      </c>
      <c r="J97" s="8">
        <f>I97/(1+(1-F97)*G97)</f>
        <v>-0.34872257031907222</v>
      </c>
    </row>
    <row r="98" spans="2:10" x14ac:dyDescent="0.25">
      <c r="B98" t="s">
        <v>19</v>
      </c>
      <c r="C98" t="s">
        <v>18</v>
      </c>
      <c r="D98" s="4">
        <f>'Beta - Comps'!F7</f>
        <v>1609.19</v>
      </c>
      <c r="E98" s="4">
        <f>'Beta - Comps'!E7</f>
        <v>235270.19</v>
      </c>
      <c r="F98" s="5">
        <f>Tax_rate</f>
        <v>0.25</v>
      </c>
      <c r="G98" s="6">
        <f t="shared" ref="G98:G101" si="33">D98/E98</f>
        <v>6.8397530515871986E-3</v>
      </c>
      <c r="H98" s="6">
        <f t="shared" ref="H98:H101" si="34">D98/(D98+E98)</f>
        <v>6.7932886349162174E-3</v>
      </c>
      <c r="I98" s="7">
        <f>'DMART- Beta Regression'!M13</f>
        <v>0.96797979847110061</v>
      </c>
      <c r="J98" s="8">
        <f t="shared" ref="J98:J101" si="35">I98/(1+(1-F98)*G98)</f>
        <v>0.9630395837721718</v>
      </c>
    </row>
    <row r="99" spans="2:10" x14ac:dyDescent="0.25">
      <c r="B99" t="s">
        <v>20</v>
      </c>
      <c r="C99" t="s">
        <v>18</v>
      </c>
      <c r="D99" s="4">
        <f>'Beta - Comps'!F8</f>
        <v>1870.76</v>
      </c>
      <c r="E99" s="4">
        <f>'Beta - Comps'!E8</f>
        <v>58187.97</v>
      </c>
      <c r="F99" s="5">
        <f>Tax_rate</f>
        <v>0.25</v>
      </c>
      <c r="G99" s="6">
        <f t="shared" si="33"/>
        <v>3.2150288109380684E-2</v>
      </c>
      <c r="H99" s="6">
        <f t="shared" si="34"/>
        <v>3.1148843806720519E-2</v>
      </c>
      <c r="I99" s="7">
        <f>'VMM - Beta Regression '!$M$13</f>
        <v>1.2186693985431984</v>
      </c>
      <c r="J99" s="8">
        <f t="shared" si="35"/>
        <v>1.1899758487576264</v>
      </c>
    </row>
    <row r="100" spans="2:10" x14ac:dyDescent="0.25">
      <c r="B100" t="s">
        <v>21</v>
      </c>
      <c r="C100" t="s">
        <v>18</v>
      </c>
      <c r="D100" s="4">
        <f>'Beta - Comps'!F9</f>
        <v>5665.24</v>
      </c>
      <c r="E100" s="4">
        <f>'Beta - Comps'!E9</f>
        <v>7909.96</v>
      </c>
      <c r="F100" s="5">
        <f>Tax_rate</f>
        <v>0.25</v>
      </c>
      <c r="G100" s="6">
        <f t="shared" si="33"/>
        <v>0.71621601120612488</v>
      </c>
      <c r="H100" s="6">
        <f t="shared" si="34"/>
        <v>0.41732276504213561</v>
      </c>
      <c r="I100" s="7">
        <f>'ABLBL- Beta Regression'!M13</f>
        <v>1.6753738602861254</v>
      </c>
      <c r="J100" s="8">
        <f t="shared" si="35"/>
        <v>1.0899136532947367</v>
      </c>
    </row>
    <row r="101" spans="2:10" x14ac:dyDescent="0.25">
      <c r="B101" t="s">
        <v>22</v>
      </c>
      <c r="C101" t="s">
        <v>18</v>
      </c>
      <c r="D101" s="4">
        <f>'Beta - Comps'!F10</f>
        <v>463.76</v>
      </c>
      <c r="E101" s="4">
        <f>'Beta - Comps'!E10</f>
        <v>11627.44</v>
      </c>
      <c r="F101" s="5">
        <f>Tax_rate</f>
        <v>0.25</v>
      </c>
      <c r="G101" s="6">
        <f t="shared" si="33"/>
        <v>3.9884961780065085E-2</v>
      </c>
      <c r="H101" s="6">
        <f t="shared" si="34"/>
        <v>3.8355167394468703E-2</v>
      </c>
      <c r="I101" s="7">
        <f>'Manyavar- Beta Regression'!M13</f>
        <v>-0.19132286913654983</v>
      </c>
      <c r="J101" s="8">
        <f t="shared" si="35"/>
        <v>-0.1857659191961665</v>
      </c>
    </row>
    <row r="103" spans="2:10" x14ac:dyDescent="0.25">
      <c r="E103" s="9" t="s">
        <v>23</v>
      </c>
      <c r="F103" s="10">
        <f>AVERAGE(F97:F101)</f>
        <v>0.25</v>
      </c>
      <c r="G103" s="11">
        <f t="shared" ref="G103:J103" si="36">AVERAGE(G97:G101)</f>
        <v>0.16256166919884923</v>
      </c>
      <c r="H103" s="11">
        <f t="shared" si="36"/>
        <v>0.10220579151919182</v>
      </c>
      <c r="I103" s="12">
        <f t="shared" si="36"/>
        <v>0.66346875854382359</v>
      </c>
      <c r="J103" s="12">
        <f t="shared" si="36"/>
        <v>0.54168811926185922</v>
      </c>
    </row>
    <row r="104" spans="2:10" x14ac:dyDescent="0.25">
      <c r="E104" s="13" t="s">
        <v>24</v>
      </c>
      <c r="F104" s="14">
        <f>MEDIAN(F97:F101)</f>
        <v>0.25</v>
      </c>
      <c r="G104" s="15">
        <f t="shared" ref="G104:J104" si="37">MEDIAN(G97:G101)</f>
        <v>3.2150288109380684E-2</v>
      </c>
      <c r="H104" s="15">
        <f t="shared" si="37"/>
        <v>3.1148843806720519E-2</v>
      </c>
      <c r="I104" s="16">
        <f t="shared" si="37"/>
        <v>0.96797979847110061</v>
      </c>
      <c r="J104" s="16">
        <f t="shared" si="37"/>
        <v>0.9630395837721718</v>
      </c>
    </row>
    <row r="107" spans="2:10" x14ac:dyDescent="0.25">
      <c r="B107" s="13" t="s">
        <v>25</v>
      </c>
      <c r="C107" s="3"/>
      <c r="D107" s="3"/>
      <c r="E107" s="3"/>
      <c r="G107" s="13" t="s">
        <v>26</v>
      </c>
      <c r="H107" s="3"/>
      <c r="I107" s="3"/>
      <c r="J107" s="3"/>
    </row>
    <row r="108" spans="2:10" x14ac:dyDescent="0.25">
      <c r="B108" t="s">
        <v>27</v>
      </c>
      <c r="E108" s="17">
        <f>200/2348.57</f>
        <v>8.5158202650974846E-2</v>
      </c>
    </row>
    <row r="109" spans="2:10" x14ac:dyDescent="0.25">
      <c r="B109" t="s">
        <v>28</v>
      </c>
      <c r="E109" s="22">
        <f>F101</f>
        <v>0.25</v>
      </c>
      <c r="G109" t="s">
        <v>29</v>
      </c>
      <c r="J109" s="22">
        <f>C20</f>
        <v>6.7000000000000004E-2</v>
      </c>
    </row>
    <row r="110" spans="2:10" x14ac:dyDescent="0.25">
      <c r="B110" s="18" t="s">
        <v>30</v>
      </c>
      <c r="C110" s="18"/>
      <c r="D110" s="18"/>
      <c r="E110" s="19">
        <f>E108*(1-E109)</f>
        <v>6.3868651988231134E-2</v>
      </c>
      <c r="G110" t="s">
        <v>31</v>
      </c>
      <c r="J110" s="113">
        <f>C21</f>
        <v>5.5E-2</v>
      </c>
    </row>
    <row r="111" spans="2:10" ht="17.25" x14ac:dyDescent="0.25">
      <c r="G111" t="s">
        <v>32</v>
      </c>
      <c r="J111" s="20">
        <f>J120</f>
        <v>1.0452646265441969</v>
      </c>
    </row>
    <row r="112" spans="2:10" x14ac:dyDescent="0.25">
      <c r="G112" s="18" t="s">
        <v>33</v>
      </c>
      <c r="H112" s="18"/>
      <c r="I112" s="18"/>
      <c r="J112" s="19">
        <f>J109+J110*J111</f>
        <v>0.12448955445993085</v>
      </c>
    </row>
    <row r="115" spans="2:10" x14ac:dyDescent="0.25">
      <c r="B115" s="13" t="s">
        <v>34</v>
      </c>
      <c r="C115" s="3"/>
      <c r="D115" s="3"/>
      <c r="E115" s="3"/>
      <c r="G115" s="13" t="s">
        <v>35</v>
      </c>
      <c r="H115" s="3"/>
      <c r="I115" s="3"/>
      <c r="J115" s="3"/>
    </row>
    <row r="117" spans="2:10" x14ac:dyDescent="0.25">
      <c r="D117" s="21" t="s">
        <v>36</v>
      </c>
      <c r="E117" s="21" t="s">
        <v>37</v>
      </c>
      <c r="G117" t="s">
        <v>38</v>
      </c>
      <c r="J117" s="20">
        <f>J104</f>
        <v>0.9630395837721718</v>
      </c>
    </row>
    <row r="118" spans="2:10" x14ac:dyDescent="0.25">
      <c r="B118" t="s">
        <v>39</v>
      </c>
      <c r="C118" s="4">
        <f>D97</f>
        <v>2348.5700000000002</v>
      </c>
      <c r="D118" s="5">
        <f t="shared" ref="D118" si="38">C118/$C$120</f>
        <v>1.7408892717718085E-2</v>
      </c>
      <c r="E118" s="133">
        <f>H103</f>
        <v>0.10220579151919182</v>
      </c>
      <c r="G118" t="s">
        <v>40</v>
      </c>
      <c r="J118" s="22">
        <f>E122</f>
        <v>0.11384100114895833</v>
      </c>
    </row>
    <row r="119" spans="2:10" x14ac:dyDescent="0.25">
      <c r="B119" t="s">
        <v>41</v>
      </c>
      <c r="C119" s="4">
        <f>E97</f>
        <v>132557.76999999999</v>
      </c>
      <c r="D119" s="5">
        <f>C119/$C$120</f>
        <v>0.98259110728228183</v>
      </c>
      <c r="E119" s="22">
        <f>E120-E118</f>
        <v>0.89779420848080815</v>
      </c>
      <c r="G119" t="s">
        <v>28</v>
      </c>
      <c r="J119">
        <f>Tax_rate</f>
        <v>0.25</v>
      </c>
    </row>
    <row r="120" spans="2:10" x14ac:dyDescent="0.25">
      <c r="B120" s="18" t="s">
        <v>42</v>
      </c>
      <c r="C120" s="23">
        <f>SUM(C118:C119)</f>
        <v>134906.34</v>
      </c>
      <c r="D120" s="24">
        <f>C37/$C$37</f>
        <v>1</v>
      </c>
      <c r="E120" s="25">
        <f>D120</f>
        <v>1</v>
      </c>
      <c r="G120" s="18" t="s">
        <v>43</v>
      </c>
      <c r="H120" s="18"/>
      <c r="I120" s="18"/>
      <c r="J120" s="26">
        <f>J117*(1+(1-J119)*J118)</f>
        <v>1.0452646265441969</v>
      </c>
    </row>
    <row r="122" spans="2:10" x14ac:dyDescent="0.25">
      <c r="B122" t="s">
        <v>44</v>
      </c>
      <c r="D122" s="27">
        <f>D118/D119</f>
        <v>1.7717331847088257E-2</v>
      </c>
      <c r="E122" s="27">
        <f t="shared" ref="E122" si="39">E118/E119</f>
        <v>0.11384100114895833</v>
      </c>
      <c r="G122" s="13" t="s">
        <v>1</v>
      </c>
      <c r="H122" s="3"/>
      <c r="I122" s="3"/>
      <c r="J122" s="3"/>
    </row>
    <row r="124" spans="2:10" x14ac:dyDescent="0.25">
      <c r="B124" s="28" t="s">
        <v>45</v>
      </c>
      <c r="I124" s="21" t="s">
        <v>46</v>
      </c>
      <c r="J124" s="21" t="s">
        <v>47</v>
      </c>
    </row>
    <row r="125" spans="2:10" x14ac:dyDescent="0.25">
      <c r="B125" s="29" t="s">
        <v>48</v>
      </c>
      <c r="G125" t="s">
        <v>49</v>
      </c>
      <c r="I125" s="22">
        <f>E110</f>
        <v>6.3868651988231134E-2</v>
      </c>
      <c r="J125" s="22">
        <f>E118</f>
        <v>0.10220579151919182</v>
      </c>
    </row>
    <row r="126" spans="2:10" x14ac:dyDescent="0.25">
      <c r="B126" s="29" t="s">
        <v>50</v>
      </c>
      <c r="G126" t="s">
        <v>13</v>
      </c>
      <c r="I126" s="22">
        <f>J112</f>
        <v>0.12448955445993085</v>
      </c>
      <c r="J126" s="22">
        <f>E119</f>
        <v>0.89779420848080815</v>
      </c>
    </row>
    <row r="127" spans="2:10" x14ac:dyDescent="0.25">
      <c r="B127" s="29" t="s">
        <v>51</v>
      </c>
      <c r="G127" s="18" t="s">
        <v>52</v>
      </c>
      <c r="H127" s="18"/>
      <c r="I127" s="18"/>
      <c r="J127" s="30">
        <f>SUMPRODUCT(I125:I126,J125:J126)</f>
        <v>0.11829374714020305</v>
      </c>
    </row>
    <row r="128" spans="2:10" x14ac:dyDescent="0.25">
      <c r="B128" s="29" t="s">
        <v>53</v>
      </c>
    </row>
    <row r="130" spans="2:12" x14ac:dyDescent="0.25">
      <c r="B130" s="66" t="s">
        <v>351</v>
      </c>
      <c r="C130" s="1"/>
      <c r="D130" s="1"/>
      <c r="E130" s="1"/>
    </row>
    <row r="131" spans="2:12" x14ac:dyDescent="0.25">
      <c r="I131" s="31"/>
    </row>
    <row r="132" spans="2:12" x14ac:dyDescent="0.25">
      <c r="B132" s="31" t="s">
        <v>352</v>
      </c>
      <c r="C132" s="87">
        <f>G87</f>
        <v>3884.5228766172354</v>
      </c>
      <c r="I132" s="31"/>
      <c r="L132" s="42"/>
    </row>
    <row r="133" spans="2:12" x14ac:dyDescent="0.25">
      <c r="B133" s="31" t="s">
        <v>353</v>
      </c>
      <c r="C133" s="42">
        <f>C19</f>
        <v>0.06</v>
      </c>
      <c r="I133" s="31"/>
      <c r="L133" s="42"/>
    </row>
    <row r="134" spans="2:12" x14ac:dyDescent="0.25">
      <c r="B134" s="31" t="s">
        <v>355</v>
      </c>
    </row>
    <row r="135" spans="2:12" x14ac:dyDescent="0.25">
      <c r="B135" s="31" t="s">
        <v>356</v>
      </c>
      <c r="C135" s="114">
        <f>C132*(1+C133)/(J127-DCF!C133)</f>
        <v>70635.264521784644</v>
      </c>
      <c r="I135" s="31"/>
      <c r="L135" s="42"/>
    </row>
    <row r="136" spans="2:12" x14ac:dyDescent="0.25">
      <c r="I136" s="31"/>
    </row>
    <row r="137" spans="2:12" x14ac:dyDescent="0.25">
      <c r="B137" s="66" t="s">
        <v>359</v>
      </c>
      <c r="C137" s="1"/>
      <c r="D137" s="1"/>
      <c r="E137" s="1"/>
      <c r="I137" s="31"/>
    </row>
    <row r="139" spans="2:12" x14ac:dyDescent="0.25">
      <c r="B139" s="69" t="s">
        <v>168</v>
      </c>
      <c r="C139" s="86">
        <v>26</v>
      </c>
      <c r="D139" s="86">
        <f>C139+1</f>
        <v>27</v>
      </c>
      <c r="E139" s="86">
        <f t="shared" ref="E139" si="40">D139+1</f>
        <v>28</v>
      </c>
      <c r="F139" s="86">
        <f t="shared" ref="F139" si="41">E139+1</f>
        <v>29</v>
      </c>
      <c r="G139" s="86">
        <f t="shared" ref="G139" si="42">F139+1</f>
        <v>30</v>
      </c>
      <c r="H139" s="86" t="s">
        <v>354</v>
      </c>
    </row>
    <row r="140" spans="2:12" x14ac:dyDescent="0.25">
      <c r="B140" t="s">
        <v>360</v>
      </c>
      <c r="C140" s="87">
        <f>C87</f>
        <v>2146.9828555583913</v>
      </c>
      <c r="D140" s="87">
        <f t="shared" ref="D140:G140" si="43">D87</f>
        <v>2554.9095981144856</v>
      </c>
      <c r="E140" s="87">
        <f t="shared" si="43"/>
        <v>2989.2442297939483</v>
      </c>
      <c r="F140" s="87">
        <f t="shared" si="43"/>
        <v>3437.6308642630393</v>
      </c>
      <c r="G140" s="87">
        <f t="shared" si="43"/>
        <v>3884.5228766172354</v>
      </c>
      <c r="H140" s="87">
        <f>C135</f>
        <v>70635.264521784644</v>
      </c>
    </row>
    <row r="141" spans="2:12" x14ac:dyDescent="0.25">
      <c r="B141" t="s">
        <v>361</v>
      </c>
      <c r="C141" s="20">
        <f>1/(1+$J$127)^1</f>
        <v>0.89421943255722036</v>
      </c>
      <c r="D141" s="20">
        <f>1/(1+$J$127)^2</f>
        <v>0.79962839356295712</v>
      </c>
      <c r="E141" s="20">
        <f>1/(1+$J$127)^3</f>
        <v>0.71504324834850908</v>
      </c>
      <c r="F141" s="20">
        <f>1/(1+$J$127)^4</f>
        <v>0.63940556779207536</v>
      </c>
      <c r="G141" s="20">
        <f>1/(1+$J$127)^5</f>
        <v>0.57176888400495696</v>
      </c>
      <c r="H141" s="20">
        <f>G141</f>
        <v>0.57176888400495696</v>
      </c>
    </row>
    <row r="142" spans="2:12" x14ac:dyDescent="0.25">
      <c r="B142" t="s">
        <v>362</v>
      </c>
      <c r="C142" s="87">
        <f>C140*C141</f>
        <v>1919.8737908075052</v>
      </c>
      <c r="D142" s="87">
        <f t="shared" ref="D142:H142" si="44">D140*D141</f>
        <v>2042.9782576388664</v>
      </c>
      <c r="E142" s="87">
        <f t="shared" si="44"/>
        <v>2137.4389041789018</v>
      </c>
      <c r="F142" s="87">
        <f t="shared" si="44"/>
        <v>2198.0403146236713</v>
      </c>
      <c r="G142" s="87">
        <f t="shared" si="44"/>
        <v>2221.0493100551616</v>
      </c>
      <c r="H142" s="87">
        <f t="shared" si="44"/>
        <v>40387.046367015733</v>
      </c>
    </row>
    <row r="144" spans="2:12" x14ac:dyDescent="0.25">
      <c r="B144" s="66" t="s">
        <v>363</v>
      </c>
      <c r="C144" s="1"/>
      <c r="D144" s="1"/>
      <c r="E144" s="1"/>
    </row>
    <row r="145" spans="2:6" x14ac:dyDescent="0.25">
      <c r="B145" s="32"/>
    </row>
    <row r="146" spans="2:6" x14ac:dyDescent="0.25">
      <c r="B146" s="115" t="s">
        <v>364</v>
      </c>
    </row>
    <row r="147" spans="2:6" x14ac:dyDescent="0.25">
      <c r="B147" s="116">
        <f>SUM(C142:G142)</f>
        <v>10519.380577304106</v>
      </c>
    </row>
    <row r="149" spans="2:6" x14ac:dyDescent="0.25">
      <c r="B149" s="115" t="s">
        <v>365</v>
      </c>
    </row>
    <row r="150" spans="2:6" x14ac:dyDescent="0.25">
      <c r="B150" s="116">
        <f>H142</f>
        <v>40387.046367015733</v>
      </c>
    </row>
    <row r="152" spans="2:6" x14ac:dyDescent="0.25">
      <c r="B152" s="115" t="s">
        <v>366</v>
      </c>
    </row>
    <row r="153" spans="2:6" x14ac:dyDescent="0.25">
      <c r="B153" s="116">
        <f>B147+B150</f>
        <v>50906.426944319843</v>
      </c>
    </row>
    <row r="155" spans="2:6" x14ac:dyDescent="0.25">
      <c r="B155" t="s">
        <v>366</v>
      </c>
      <c r="C155" s="87">
        <f>B153</f>
        <v>50906.426944319843</v>
      </c>
    </row>
    <row r="156" spans="2:6" x14ac:dyDescent="0.25">
      <c r="B156" t="s">
        <v>367</v>
      </c>
      <c r="C156" s="123">
        <f>D97</f>
        <v>2348.5700000000002</v>
      </c>
    </row>
    <row r="157" spans="2:6" x14ac:dyDescent="0.25">
      <c r="B157" t="s">
        <v>368</v>
      </c>
      <c r="C157">
        <v>340</v>
      </c>
      <c r="F157" s="37"/>
    </row>
    <row r="158" spans="2:6" x14ac:dyDescent="0.25">
      <c r="B158" s="117" t="s">
        <v>369</v>
      </c>
      <c r="C158" s="118">
        <f>C155-C156+C157</f>
        <v>48897.856944319843</v>
      </c>
    </row>
    <row r="159" spans="2:6" x14ac:dyDescent="0.25">
      <c r="B159" t="s">
        <v>370</v>
      </c>
      <c r="C159">
        <v>35.549999999999997</v>
      </c>
    </row>
    <row r="160" spans="2:6" x14ac:dyDescent="0.25">
      <c r="B160" s="31" t="s">
        <v>371</v>
      </c>
      <c r="C160" s="125">
        <f>C158/C159</f>
        <v>1375.4671433001363</v>
      </c>
    </row>
    <row r="161" spans="2:7" x14ac:dyDescent="0.25">
      <c r="B161" t="s">
        <v>372</v>
      </c>
      <c r="C161" s="87">
        <v>3729</v>
      </c>
    </row>
    <row r="162" spans="2:7" x14ac:dyDescent="0.25">
      <c r="B162" t="s">
        <v>373</v>
      </c>
      <c r="C162" s="119">
        <f>C160/C161-1</f>
        <v>-0.63114316350224287</v>
      </c>
    </row>
    <row r="164" spans="2:7" ht="15.75" thickBot="1" x14ac:dyDescent="0.3">
      <c r="B164" s="66" t="s">
        <v>374</v>
      </c>
      <c r="C164" s="1"/>
      <c r="D164" s="1"/>
      <c r="E164" s="1"/>
    </row>
    <row r="165" spans="2:7" ht="11.25" customHeight="1" thickBot="1" x14ac:dyDescent="0.3">
      <c r="B165" s="120" t="s">
        <v>375</v>
      </c>
    </row>
    <row r="166" spans="2:7" x14ac:dyDescent="0.25">
      <c r="B166" s="124">
        <f>C160</f>
        <v>1375.4671433001363</v>
      </c>
      <c r="C166" s="122">
        <v>0.1082</v>
      </c>
      <c r="D166" s="122">
        <v>0.1132</v>
      </c>
      <c r="E166" s="122">
        <v>0.1182</v>
      </c>
      <c r="F166" s="122">
        <v>0.1232</v>
      </c>
      <c r="G166" s="122">
        <v>0.12820000000000001</v>
      </c>
    </row>
    <row r="167" spans="2:7" x14ac:dyDescent="0.25">
      <c r="B167" s="121">
        <v>0.04</v>
      </c>
      <c r="C167" s="128">
        <f t="dataTable" ref="C167:G171" dt2D="1" dtr="1" r1="J127" r2="C19"/>
        <v>1244.6973708940116</v>
      </c>
      <c r="D167" s="128">
        <v>1151.7325520364484</v>
      </c>
      <c r="E167" s="128">
        <v>1070.7216873310315</v>
      </c>
      <c r="F167" s="128">
        <v>999.50820763796253</v>
      </c>
      <c r="G167" s="128">
        <v>936.42459870346102</v>
      </c>
    </row>
    <row r="168" spans="2:7" x14ac:dyDescent="0.25">
      <c r="B168" s="121">
        <v>0.05</v>
      </c>
      <c r="C168" s="128">
        <v>1427.2205967544808</v>
      </c>
      <c r="D168" s="129">
        <v>1305.5399157622526</v>
      </c>
      <c r="E168" s="129">
        <v>1201.769265378188</v>
      </c>
      <c r="F168" s="129">
        <v>1112.2371135193353</v>
      </c>
      <c r="G168" s="128">
        <v>1034.2109763475155</v>
      </c>
    </row>
    <row r="169" spans="2:7" x14ac:dyDescent="0.25">
      <c r="B169" s="121">
        <v>0.06</v>
      </c>
      <c r="C169" s="128">
        <v>1685.4796009802892</v>
      </c>
      <c r="D169" s="129">
        <v>1517.1695966782083</v>
      </c>
      <c r="E169" s="129">
        <v>1377.850375400312</v>
      </c>
      <c r="F169" s="129">
        <v>1260.6397237935475</v>
      </c>
      <c r="G169" s="128">
        <v>1160.6737110719373</v>
      </c>
    </row>
    <row r="170" spans="2:7" x14ac:dyDescent="0.25">
      <c r="B170" s="121">
        <v>7.0000000000000007E-2</v>
      </c>
      <c r="C170" s="128">
        <v>2078.9527435442183</v>
      </c>
      <c r="D170" s="129">
        <v>1826.7759817219219</v>
      </c>
      <c r="E170" s="129">
        <v>1626.9941866764302</v>
      </c>
      <c r="F170" s="129">
        <v>1464.8327890580656</v>
      </c>
      <c r="G170" s="128">
        <v>1330.594430237742</v>
      </c>
    </row>
    <row r="171" spans="2:7" x14ac:dyDescent="0.25">
      <c r="B171" s="121">
        <v>0.08</v>
      </c>
      <c r="C171" s="128">
        <v>2751.4848524655426</v>
      </c>
      <c r="D171" s="128">
        <v>2322.8922372738957</v>
      </c>
      <c r="E171" s="128">
        <v>2006.5797839609861</v>
      </c>
      <c r="F171" s="128">
        <v>1763.5596808339337</v>
      </c>
      <c r="G171" s="128">
        <v>1571.0216718789839</v>
      </c>
    </row>
    <row r="173" spans="2:7" x14ac:dyDescent="0.25">
      <c r="B173" s="66" t="s">
        <v>376</v>
      </c>
      <c r="C173" s="1"/>
      <c r="D173" s="1"/>
      <c r="E173" s="1"/>
    </row>
    <row r="175" spans="2:7" x14ac:dyDescent="0.25">
      <c r="B175" s="31" t="s">
        <v>378</v>
      </c>
    </row>
    <row r="176" spans="2:7" x14ac:dyDescent="0.25">
      <c r="B176" t="s">
        <v>379</v>
      </c>
    </row>
    <row r="177" spans="2:11" x14ac:dyDescent="0.25">
      <c r="B177" t="s">
        <v>380</v>
      </c>
    </row>
    <row r="178" spans="2:11" x14ac:dyDescent="0.25">
      <c r="B178" t="s">
        <v>381</v>
      </c>
    </row>
    <row r="179" spans="2:11" x14ac:dyDescent="0.25">
      <c r="B179" t="s">
        <v>382</v>
      </c>
    </row>
    <row r="181" spans="2:11" x14ac:dyDescent="0.25">
      <c r="B181" s="31" t="s">
        <v>383</v>
      </c>
    </row>
    <row r="182" spans="2:11" x14ac:dyDescent="0.25">
      <c r="B182" t="s">
        <v>384</v>
      </c>
    </row>
    <row r="183" spans="2:11" x14ac:dyDescent="0.25">
      <c r="B183" t="s">
        <v>385</v>
      </c>
    </row>
    <row r="184" spans="2:11" x14ac:dyDescent="0.25">
      <c r="B184" t="s">
        <v>386</v>
      </c>
    </row>
    <row r="185" spans="2:11" x14ac:dyDescent="0.25">
      <c r="B185" t="s">
        <v>387</v>
      </c>
    </row>
    <row r="187" spans="2:11" x14ac:dyDescent="0.25">
      <c r="B187" s="66" t="s">
        <v>377</v>
      </c>
      <c r="C187" s="1"/>
      <c r="D187" s="1"/>
      <c r="E187" s="1"/>
    </row>
    <row r="189" spans="2:11" ht="37.5" customHeight="1" x14ac:dyDescent="0.25">
      <c r="B189" s="137" t="s">
        <v>388</v>
      </c>
      <c r="C189" s="137"/>
      <c r="D189" s="137"/>
      <c r="E189" s="137"/>
      <c r="F189" s="137"/>
      <c r="G189" s="137"/>
      <c r="H189" s="137"/>
      <c r="I189" s="137"/>
      <c r="J189" s="137"/>
      <c r="K189" s="137"/>
    </row>
    <row r="191" spans="2:11" x14ac:dyDescent="0.25">
      <c r="B191" s="31" t="s">
        <v>389</v>
      </c>
    </row>
    <row r="192" spans="2:11" x14ac:dyDescent="0.25">
      <c r="B192" t="s">
        <v>390</v>
      </c>
    </row>
    <row r="193" spans="2:11" x14ac:dyDescent="0.25">
      <c r="B193" t="s">
        <v>391</v>
      </c>
    </row>
    <row r="194" spans="2:11" x14ac:dyDescent="0.25">
      <c r="B194" t="s">
        <v>392</v>
      </c>
    </row>
    <row r="196" spans="2:11" x14ac:dyDescent="0.25">
      <c r="B196" s="31" t="s">
        <v>397</v>
      </c>
    </row>
    <row r="197" spans="2:11" x14ac:dyDescent="0.25">
      <c r="B197" t="s">
        <v>0</v>
      </c>
    </row>
    <row r="198" spans="2:11" ht="36.75" customHeight="1" x14ac:dyDescent="0.25">
      <c r="B198" s="134" t="s">
        <v>393</v>
      </c>
      <c r="C198" s="134"/>
      <c r="D198" s="134"/>
      <c r="E198" s="134"/>
      <c r="F198" s="134"/>
      <c r="G198" s="134"/>
      <c r="H198" s="134"/>
      <c r="I198" s="134"/>
      <c r="J198" s="134"/>
      <c r="K198" s="134"/>
    </row>
    <row r="199" spans="2:11" x14ac:dyDescent="0.25">
      <c r="B199" t="s">
        <v>394</v>
      </c>
    </row>
    <row r="200" spans="2:11" x14ac:dyDescent="0.25">
      <c r="B200" t="s">
        <v>395</v>
      </c>
    </row>
    <row r="201" spans="2:11" x14ac:dyDescent="0.25">
      <c r="B201" t="s">
        <v>396</v>
      </c>
    </row>
  </sheetData>
  <mergeCells count="6">
    <mergeCell ref="B198:K198"/>
    <mergeCell ref="D19:F19"/>
    <mergeCell ref="D13:F13"/>
    <mergeCell ref="D16:F16"/>
    <mergeCell ref="N46:V51"/>
    <mergeCell ref="B189:K189"/>
  </mergeCells>
  <dataValidations count="1">
    <dataValidation type="list" allowBlank="1" showInputMessage="1" showErrorMessage="1" sqref="C71" xr:uid="{65BDFA18-156A-4DD7-AD89-A5C2A1B894D2}">
      <formula1>$B$72:$B$74</formula1>
    </dataValidation>
  </dataValidations>
  <pageMargins left="0.7" right="0.7" top="0.75" bottom="0.75" header="0.3" footer="0.3"/>
  <pageSetup orientation="portrait" r:id="rId1"/>
  <ignoredErrors>
    <ignoredError sqref="C83:G83" formula="1"/>
    <ignoredError sqref="C158 C160:C162" evalError="1"/>
    <ignoredError sqref="C33:G33" formulaRange="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1CFAC-E934-457B-8E70-B39A01C3D476}">
  <dimension ref="B5:G10"/>
  <sheetViews>
    <sheetView showGridLines="0" workbookViewId="0">
      <selection activeCell="B5" sqref="B5:G5"/>
    </sheetView>
  </sheetViews>
  <sheetFormatPr defaultRowHeight="15" x14ac:dyDescent="0.25"/>
  <cols>
    <col min="1" max="1" width="1.85546875" customWidth="1"/>
    <col min="2" max="2" width="5.7109375" bestFit="1" customWidth="1"/>
    <col min="3" max="3" width="16.42578125" bestFit="1" customWidth="1"/>
    <col min="4" max="4" width="8" bestFit="1" customWidth="1"/>
    <col min="5" max="5" width="14.140625" bestFit="1" customWidth="1"/>
    <col min="6" max="6" width="10.7109375" bestFit="1" customWidth="1"/>
    <col min="17" max="17" width="5.7109375" bestFit="1" customWidth="1"/>
    <col min="18" max="18" width="16.42578125" bestFit="1" customWidth="1"/>
    <col min="19" max="19" width="8" bestFit="1" customWidth="1"/>
    <col min="20" max="20" width="14.140625" bestFit="1" customWidth="1"/>
    <col min="21" max="21" width="10.7109375" bestFit="1" customWidth="1"/>
  </cols>
  <sheetData>
    <row r="5" spans="2:7" x14ac:dyDescent="0.25">
      <c r="B5" s="1" t="s">
        <v>158</v>
      </c>
      <c r="C5" s="1" t="s">
        <v>159</v>
      </c>
      <c r="D5" s="1" t="s">
        <v>160</v>
      </c>
      <c r="E5" s="1" t="s">
        <v>161</v>
      </c>
      <c r="F5" s="1" t="s">
        <v>162</v>
      </c>
      <c r="G5" s="1" t="s">
        <v>163</v>
      </c>
    </row>
    <row r="6" spans="2:7" x14ac:dyDescent="0.25">
      <c r="B6">
        <v>1</v>
      </c>
      <c r="C6" t="s">
        <v>165</v>
      </c>
      <c r="D6">
        <v>3729</v>
      </c>
      <c r="E6">
        <v>132557.76999999999</v>
      </c>
      <c r="F6">
        <v>2348.5700000000002</v>
      </c>
      <c r="G6">
        <v>0.38</v>
      </c>
    </row>
    <row r="7" spans="2:7" x14ac:dyDescent="0.25">
      <c r="B7">
        <v>2</v>
      </c>
      <c r="C7" t="s">
        <v>164</v>
      </c>
      <c r="D7">
        <v>3613.7</v>
      </c>
      <c r="E7">
        <v>235270.19</v>
      </c>
      <c r="F7">
        <v>1609.19</v>
      </c>
      <c r="G7">
        <v>7.0000000000000007E-2</v>
      </c>
    </row>
    <row r="8" spans="2:7" x14ac:dyDescent="0.25">
      <c r="B8">
        <v>3</v>
      </c>
      <c r="C8" t="s">
        <v>20</v>
      </c>
      <c r="D8">
        <v>124.47</v>
      </c>
      <c r="E8">
        <v>58187.97</v>
      </c>
      <c r="F8">
        <v>1870.76</v>
      </c>
      <c r="G8">
        <v>0.27</v>
      </c>
    </row>
    <row r="9" spans="2:7" x14ac:dyDescent="0.25">
      <c r="B9">
        <v>4</v>
      </c>
      <c r="C9" t="s">
        <v>167</v>
      </c>
      <c r="D9">
        <v>64.78</v>
      </c>
      <c r="E9">
        <v>7909.96</v>
      </c>
      <c r="F9">
        <v>5665.24</v>
      </c>
      <c r="G9">
        <v>0.91</v>
      </c>
    </row>
    <row r="10" spans="2:7" x14ac:dyDescent="0.25">
      <c r="B10">
        <v>5</v>
      </c>
      <c r="C10" t="s">
        <v>166</v>
      </c>
      <c r="D10">
        <v>478.45</v>
      </c>
      <c r="E10">
        <v>11627.44</v>
      </c>
      <c r="F10">
        <v>463.76</v>
      </c>
      <c r="G10">
        <v>0.27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C117D-C2A0-429A-9A46-A0D2A3218561}">
  <dimension ref="B5:N75"/>
  <sheetViews>
    <sheetView showGridLines="0" zoomScale="83" workbookViewId="0">
      <selection activeCell="N40" sqref="N40"/>
    </sheetView>
  </sheetViews>
  <sheetFormatPr defaultRowHeight="15" x14ac:dyDescent="0.25"/>
  <cols>
    <col min="1" max="1" width="1.85546875" customWidth="1"/>
    <col min="2" max="2" width="35.140625" bestFit="1" customWidth="1"/>
    <col min="3" max="9" width="9.28515625" bestFit="1" customWidth="1"/>
    <col min="10" max="10" width="9.5703125" bestFit="1" customWidth="1"/>
    <col min="11" max="14" width="9.28515625" bestFit="1" customWidth="1"/>
  </cols>
  <sheetData>
    <row r="5" spans="2:14" x14ac:dyDescent="0.25">
      <c r="B5" s="45" t="s">
        <v>198</v>
      </c>
      <c r="C5" s="47">
        <v>41699</v>
      </c>
      <c r="D5" s="47">
        <v>42064</v>
      </c>
      <c r="E5" s="47">
        <v>42430</v>
      </c>
      <c r="F5" s="47">
        <v>42795</v>
      </c>
      <c r="G5" s="47">
        <v>43160</v>
      </c>
      <c r="H5" s="47">
        <v>43525</v>
      </c>
      <c r="I5" s="47">
        <v>43891</v>
      </c>
      <c r="J5" s="47">
        <v>44256</v>
      </c>
      <c r="K5" s="47">
        <v>44621</v>
      </c>
      <c r="L5" s="47">
        <v>44986</v>
      </c>
      <c r="M5" s="47">
        <v>45352</v>
      </c>
      <c r="N5" s="47">
        <v>45717</v>
      </c>
    </row>
    <row r="7" spans="2:14" x14ac:dyDescent="0.25">
      <c r="B7" s="31" t="s">
        <v>169</v>
      </c>
      <c r="C7" s="49">
        <v>33</v>
      </c>
      <c r="D7" s="49">
        <v>33</v>
      </c>
      <c r="E7" s="49">
        <v>33</v>
      </c>
      <c r="F7" s="49">
        <v>33</v>
      </c>
      <c r="G7" s="49">
        <v>33</v>
      </c>
      <c r="H7" s="49">
        <v>33</v>
      </c>
      <c r="I7" s="49">
        <v>36</v>
      </c>
      <c r="J7" s="49">
        <v>36</v>
      </c>
      <c r="K7" s="49">
        <v>36</v>
      </c>
      <c r="L7" s="49">
        <v>36</v>
      </c>
      <c r="M7" s="49">
        <v>36</v>
      </c>
      <c r="N7" s="49">
        <v>36</v>
      </c>
    </row>
    <row r="8" spans="2:14" x14ac:dyDescent="0.25">
      <c r="B8" s="31" t="s">
        <v>170</v>
      </c>
      <c r="C8" s="49">
        <v>958</v>
      </c>
      <c r="D8" s="49">
        <v>1389</v>
      </c>
      <c r="E8" s="49">
        <v>1431</v>
      </c>
      <c r="F8" s="49">
        <v>1514</v>
      </c>
      <c r="G8" s="49">
        <v>1562</v>
      </c>
      <c r="H8" s="49">
        <v>1613</v>
      </c>
      <c r="I8" s="49">
        <v>2352</v>
      </c>
      <c r="J8" s="49">
        <v>2277</v>
      </c>
      <c r="K8" s="49">
        <v>2328</v>
      </c>
      <c r="L8" s="49">
        <v>2560</v>
      </c>
      <c r="M8" s="49">
        <v>4032</v>
      </c>
      <c r="N8" s="49">
        <v>5426</v>
      </c>
    </row>
    <row r="9" spans="2:14" x14ac:dyDescent="0.25">
      <c r="B9" s="31" t="s">
        <v>199</v>
      </c>
      <c r="C9" s="49"/>
      <c r="D9" s="49"/>
      <c r="E9" s="49"/>
      <c r="F9" s="49"/>
      <c r="G9" s="49"/>
      <c r="H9" s="49"/>
      <c r="I9" s="49"/>
      <c r="J9" s="49"/>
      <c r="K9" s="49"/>
      <c r="L9" s="49"/>
      <c r="M9" s="49"/>
      <c r="N9" s="49"/>
    </row>
    <row r="10" spans="2:14" x14ac:dyDescent="0.25">
      <c r="B10" t="s">
        <v>171</v>
      </c>
      <c r="C10" s="49">
        <v>325</v>
      </c>
      <c r="D10" s="49">
        <v>112</v>
      </c>
      <c r="E10" s="49">
        <v>96</v>
      </c>
      <c r="F10" s="49"/>
      <c r="G10" s="49"/>
      <c r="H10" s="49">
        <v>300</v>
      </c>
      <c r="I10" s="49">
        <v>300</v>
      </c>
      <c r="J10" s="49">
        <v>0</v>
      </c>
      <c r="K10" s="49">
        <v>497</v>
      </c>
      <c r="L10" s="49">
        <v>498</v>
      </c>
      <c r="M10" s="49">
        <v>499</v>
      </c>
      <c r="N10" s="49">
        <v>499</v>
      </c>
    </row>
    <row r="11" spans="2:14" x14ac:dyDescent="0.25">
      <c r="B11" t="s">
        <v>172</v>
      </c>
      <c r="C11" s="49">
        <v>7</v>
      </c>
      <c r="D11" s="49">
        <v>4</v>
      </c>
      <c r="E11" s="49">
        <v>4</v>
      </c>
      <c r="F11" s="49"/>
      <c r="G11" s="49"/>
      <c r="H11" s="49">
        <v>95</v>
      </c>
      <c r="I11" s="49">
        <v>0</v>
      </c>
      <c r="J11" s="49">
        <v>300</v>
      </c>
      <c r="K11" s="49">
        <v>0</v>
      </c>
      <c r="L11" s="49">
        <v>0</v>
      </c>
      <c r="M11" s="49">
        <v>0</v>
      </c>
      <c r="N11" s="49">
        <v>0</v>
      </c>
    </row>
    <row r="12" spans="2:14" x14ac:dyDescent="0.25">
      <c r="B12" t="s">
        <v>173</v>
      </c>
      <c r="C12" s="49">
        <v>0</v>
      </c>
      <c r="D12" s="49">
        <v>0</v>
      </c>
      <c r="E12" s="49">
        <v>0</v>
      </c>
      <c r="F12" s="49">
        <v>0</v>
      </c>
      <c r="G12" s="49">
        <v>0</v>
      </c>
      <c r="H12" s="49">
        <v>0</v>
      </c>
      <c r="I12" s="49">
        <v>0</v>
      </c>
      <c r="J12" s="49">
        <v>2664</v>
      </c>
      <c r="K12" s="49">
        <v>4228</v>
      </c>
      <c r="L12" s="49">
        <v>3966</v>
      </c>
      <c r="M12" s="49">
        <v>1254</v>
      </c>
      <c r="N12" s="49">
        <v>1738</v>
      </c>
    </row>
    <row r="13" spans="2:14" x14ac:dyDescent="0.25">
      <c r="B13" t="s">
        <v>174</v>
      </c>
      <c r="C13" s="49">
        <v>0</v>
      </c>
      <c r="D13" s="49">
        <v>150</v>
      </c>
      <c r="E13" s="49">
        <v>300</v>
      </c>
      <c r="F13" s="49">
        <v>392</v>
      </c>
      <c r="G13" s="49">
        <v>391</v>
      </c>
      <c r="H13" s="49">
        <v>100</v>
      </c>
      <c r="I13" s="49">
        <v>0</v>
      </c>
      <c r="J13" s="49">
        <v>-2664</v>
      </c>
      <c r="K13" s="49">
        <v>0</v>
      </c>
      <c r="L13" s="49">
        <v>0</v>
      </c>
      <c r="M13" s="49">
        <v>0</v>
      </c>
      <c r="N13" s="49">
        <v>0</v>
      </c>
    </row>
    <row r="14" spans="2:14" x14ac:dyDescent="0.25">
      <c r="B14" s="31" t="s">
        <v>206</v>
      </c>
      <c r="C14" s="49"/>
      <c r="D14" s="49"/>
      <c r="E14" s="49"/>
      <c r="F14" s="49"/>
      <c r="G14" s="49"/>
      <c r="H14" s="49"/>
      <c r="I14" s="49"/>
      <c r="J14" s="49"/>
      <c r="K14" s="49"/>
      <c r="L14" s="49"/>
      <c r="M14" s="49"/>
      <c r="N14" s="49"/>
    </row>
    <row r="15" spans="2:14" x14ac:dyDescent="0.25">
      <c r="B15" t="s">
        <v>175</v>
      </c>
      <c r="C15" s="49">
        <v>3</v>
      </c>
      <c r="D15" s="49">
        <v>3</v>
      </c>
      <c r="E15" s="49">
        <v>10</v>
      </c>
      <c r="F15" s="49">
        <v>1</v>
      </c>
      <c r="G15" s="49">
        <v>1</v>
      </c>
      <c r="H15" s="49">
        <v>-3</v>
      </c>
      <c r="I15" s="49">
        <v>80</v>
      </c>
      <c r="J15" s="49">
        <v>44</v>
      </c>
      <c r="K15" s="49">
        <v>46</v>
      </c>
      <c r="L15" s="49">
        <v>67</v>
      </c>
      <c r="M15" s="49">
        <v>35</v>
      </c>
      <c r="N15" s="49">
        <v>122</v>
      </c>
    </row>
    <row r="16" spans="2:14" x14ac:dyDescent="0.25">
      <c r="B16" t="s">
        <v>176</v>
      </c>
      <c r="C16" s="49">
        <v>331</v>
      </c>
      <c r="D16" s="49">
        <v>221</v>
      </c>
      <c r="E16" s="49">
        <v>166</v>
      </c>
      <c r="F16" s="49">
        <v>169</v>
      </c>
      <c r="G16" s="49">
        <v>208</v>
      </c>
      <c r="H16" s="49">
        <v>245</v>
      </c>
      <c r="I16" s="49">
        <v>298</v>
      </c>
      <c r="J16" s="49">
        <v>275</v>
      </c>
      <c r="K16" s="49">
        <v>378</v>
      </c>
      <c r="L16" s="49">
        <v>665</v>
      </c>
      <c r="M16" s="49">
        <v>774</v>
      </c>
      <c r="N16" s="49">
        <v>928</v>
      </c>
    </row>
    <row r="17" spans="2:14" x14ac:dyDescent="0.25">
      <c r="B17" t="s">
        <v>177</v>
      </c>
      <c r="C17" s="48">
        <v>280</v>
      </c>
      <c r="D17" s="48">
        <v>294</v>
      </c>
      <c r="E17" s="48">
        <v>116</v>
      </c>
      <c r="F17" s="48">
        <v>113</v>
      </c>
      <c r="G17" s="48">
        <v>140</v>
      </c>
      <c r="H17" s="48">
        <v>176</v>
      </c>
      <c r="I17" s="48">
        <v>2442</v>
      </c>
      <c r="J17" s="48">
        <v>2792</v>
      </c>
      <c r="K17" s="48">
        <v>213</v>
      </c>
      <c r="L17" s="48">
        <v>289</v>
      </c>
      <c r="M17" s="48">
        <v>532</v>
      </c>
      <c r="N17" s="48">
        <v>671</v>
      </c>
    </row>
    <row r="18" spans="2:14" ht="15.75" thickBot="1" x14ac:dyDescent="0.3">
      <c r="B18" s="57" t="s">
        <v>178</v>
      </c>
      <c r="C18" s="58">
        <v>1936</v>
      </c>
      <c r="D18" s="58">
        <v>2207</v>
      </c>
      <c r="E18" s="58">
        <v>2157</v>
      </c>
      <c r="F18" s="58">
        <v>2222</v>
      </c>
      <c r="G18" s="58">
        <v>2336</v>
      </c>
      <c r="H18" s="58">
        <v>2559</v>
      </c>
      <c r="I18" s="58">
        <v>5507</v>
      </c>
      <c r="J18" s="58">
        <v>5724</v>
      </c>
      <c r="K18" s="58">
        <v>7726</v>
      </c>
      <c r="L18" s="58">
        <v>8082</v>
      </c>
      <c r="M18" s="58">
        <v>7162</v>
      </c>
      <c r="N18" s="58">
        <v>9420</v>
      </c>
    </row>
    <row r="19" spans="2:14" x14ac:dyDescent="0.25">
      <c r="C19" s="48"/>
      <c r="D19" s="48"/>
      <c r="E19" s="48"/>
      <c r="F19" s="48"/>
      <c r="G19" s="48"/>
      <c r="H19" s="48"/>
      <c r="I19" s="48"/>
      <c r="J19" s="48"/>
      <c r="K19" s="48"/>
      <c r="L19" s="48"/>
      <c r="M19" s="48"/>
      <c r="N19" s="48"/>
    </row>
    <row r="20" spans="2:14" x14ac:dyDescent="0.25">
      <c r="B20" s="31" t="s">
        <v>200</v>
      </c>
      <c r="C20" s="48"/>
      <c r="D20" s="48"/>
      <c r="E20" s="48"/>
      <c r="F20" s="48"/>
      <c r="G20" s="48"/>
      <c r="H20" s="48"/>
      <c r="I20" s="48"/>
      <c r="J20" s="48"/>
      <c r="K20" s="48"/>
      <c r="L20" s="48"/>
      <c r="M20" s="48"/>
      <c r="N20" s="48"/>
    </row>
    <row r="21" spans="2:14" x14ac:dyDescent="0.25">
      <c r="B21" t="s">
        <v>179</v>
      </c>
      <c r="C21" s="51">
        <v>63</v>
      </c>
      <c r="D21" s="51">
        <v>101</v>
      </c>
      <c r="E21" s="51">
        <v>58</v>
      </c>
      <c r="F21" s="51">
        <v>58</v>
      </c>
      <c r="G21" s="51">
        <v>61</v>
      </c>
      <c r="H21" s="51">
        <v>63</v>
      </c>
      <c r="I21" s="51">
        <v>63</v>
      </c>
      <c r="J21" s="51">
        <v>63</v>
      </c>
      <c r="K21" s="51">
        <v>62</v>
      </c>
      <c r="L21" s="51">
        <v>77</v>
      </c>
      <c r="M21" s="51">
        <v>86</v>
      </c>
      <c r="N21" s="51">
        <v>86</v>
      </c>
    </row>
    <row r="22" spans="2:14" x14ac:dyDescent="0.25">
      <c r="B22" t="s">
        <v>180</v>
      </c>
      <c r="C22" s="51">
        <v>272</v>
      </c>
      <c r="D22" s="51">
        <v>232</v>
      </c>
      <c r="E22" s="51">
        <v>291</v>
      </c>
      <c r="F22" s="51">
        <v>326</v>
      </c>
      <c r="G22" s="51">
        <v>360</v>
      </c>
      <c r="H22" s="51">
        <v>382</v>
      </c>
      <c r="I22" s="51">
        <v>2622</v>
      </c>
      <c r="J22" s="51">
        <v>3117</v>
      </c>
      <c r="K22" s="51">
        <v>4893</v>
      </c>
      <c r="L22" s="51">
        <v>4855</v>
      </c>
      <c r="M22" s="51">
        <v>2162</v>
      </c>
      <c r="N22" s="51">
        <v>3664</v>
      </c>
    </row>
    <row r="23" spans="2:14" x14ac:dyDescent="0.25">
      <c r="B23" t="s">
        <v>181</v>
      </c>
      <c r="C23" s="51">
        <v>158</v>
      </c>
      <c r="D23" s="51">
        <v>99</v>
      </c>
      <c r="E23" s="51">
        <v>105</v>
      </c>
      <c r="F23" s="51">
        <v>116</v>
      </c>
      <c r="G23" s="51">
        <v>119</v>
      </c>
      <c r="H23" s="51">
        <v>134</v>
      </c>
      <c r="I23" s="51">
        <v>158</v>
      </c>
      <c r="J23" s="51">
        <v>168</v>
      </c>
      <c r="K23" s="51">
        <v>221</v>
      </c>
      <c r="L23" s="51">
        <v>287</v>
      </c>
      <c r="M23" s="51">
        <v>437</v>
      </c>
      <c r="N23" s="51">
        <v>825</v>
      </c>
    </row>
    <row r="24" spans="2:14" x14ac:dyDescent="0.25">
      <c r="B24" t="s">
        <v>182</v>
      </c>
      <c r="C24" s="51">
        <v>10</v>
      </c>
      <c r="D24" s="51">
        <v>9</v>
      </c>
      <c r="E24" s="51">
        <v>11</v>
      </c>
      <c r="F24" s="51">
        <v>14</v>
      </c>
      <c r="G24" s="51">
        <v>16</v>
      </c>
      <c r="H24" s="51">
        <v>23</v>
      </c>
      <c r="I24" s="51">
        <v>29</v>
      </c>
      <c r="J24" s="51">
        <v>30</v>
      </c>
      <c r="K24" s="51">
        <v>33</v>
      </c>
      <c r="L24" s="51">
        <v>39</v>
      </c>
      <c r="M24" s="51">
        <v>44</v>
      </c>
      <c r="N24" s="51">
        <v>56</v>
      </c>
    </row>
    <row r="25" spans="2:14" x14ac:dyDescent="0.25">
      <c r="B25" t="s">
        <v>183</v>
      </c>
      <c r="C25" s="51">
        <v>50</v>
      </c>
      <c r="D25" s="51">
        <v>38</v>
      </c>
      <c r="E25" s="51">
        <v>38</v>
      </c>
      <c r="F25" s="51">
        <v>40</v>
      </c>
      <c r="G25" s="51">
        <v>42</v>
      </c>
      <c r="H25" s="51">
        <v>49</v>
      </c>
      <c r="I25" s="51">
        <v>58</v>
      </c>
      <c r="J25" s="51">
        <v>59</v>
      </c>
      <c r="K25" s="51">
        <v>70</v>
      </c>
      <c r="L25" s="51">
        <v>98</v>
      </c>
      <c r="M25" s="51">
        <v>112</v>
      </c>
      <c r="N25" s="51">
        <v>175</v>
      </c>
    </row>
    <row r="26" spans="2:14" x14ac:dyDescent="0.25">
      <c r="B26" t="s">
        <v>184</v>
      </c>
      <c r="C26" s="51">
        <v>160</v>
      </c>
      <c r="D26" s="51">
        <v>122</v>
      </c>
      <c r="E26" s="51">
        <v>132</v>
      </c>
      <c r="F26" s="51">
        <v>138</v>
      </c>
      <c r="G26" s="51">
        <v>145</v>
      </c>
      <c r="H26" s="51">
        <v>164</v>
      </c>
      <c r="I26" s="51">
        <v>183</v>
      </c>
      <c r="J26" s="51">
        <v>192</v>
      </c>
      <c r="K26" s="51">
        <v>225</v>
      </c>
      <c r="L26" s="51">
        <v>328</v>
      </c>
      <c r="M26" s="51">
        <v>486</v>
      </c>
      <c r="N26" s="51">
        <v>758</v>
      </c>
    </row>
    <row r="27" spans="2:14" x14ac:dyDescent="0.25">
      <c r="B27" t="s">
        <v>185</v>
      </c>
      <c r="C27" s="51">
        <v>1</v>
      </c>
      <c r="D27" s="51">
        <v>1</v>
      </c>
      <c r="E27" s="51">
        <v>1</v>
      </c>
      <c r="F27" s="51">
        <v>1</v>
      </c>
      <c r="G27" s="51">
        <v>1</v>
      </c>
      <c r="H27" s="51">
        <v>1</v>
      </c>
      <c r="I27" s="51">
        <v>3</v>
      </c>
      <c r="J27" s="51">
        <v>3</v>
      </c>
      <c r="K27" s="51">
        <v>3</v>
      </c>
      <c r="L27" s="51">
        <v>3</v>
      </c>
      <c r="M27" s="51">
        <v>3</v>
      </c>
      <c r="N27" s="51">
        <v>4</v>
      </c>
    </row>
    <row r="28" spans="2:14" x14ac:dyDescent="0.25">
      <c r="B28" t="s">
        <v>186</v>
      </c>
      <c r="C28" s="51">
        <v>81</v>
      </c>
      <c r="D28" s="51">
        <v>26</v>
      </c>
      <c r="E28" s="51">
        <v>26</v>
      </c>
      <c r="F28" s="51">
        <v>26</v>
      </c>
      <c r="G28" s="51">
        <v>55</v>
      </c>
      <c r="H28" s="51">
        <v>55</v>
      </c>
      <c r="I28" s="51">
        <v>62</v>
      </c>
      <c r="J28" s="51">
        <v>62</v>
      </c>
      <c r="K28" s="51">
        <v>62</v>
      </c>
      <c r="L28" s="51">
        <v>62</v>
      </c>
      <c r="M28" s="51">
        <v>62</v>
      </c>
      <c r="N28" s="51">
        <v>62</v>
      </c>
    </row>
    <row r="29" spans="2:14" x14ac:dyDescent="0.25">
      <c r="B29" t="s">
        <v>187</v>
      </c>
      <c r="C29" s="51">
        <v>150</v>
      </c>
      <c r="D29" s="51">
        <v>322</v>
      </c>
      <c r="E29" s="51">
        <v>18</v>
      </c>
      <c r="F29" s="51">
        <v>56</v>
      </c>
      <c r="G29" s="51">
        <v>63</v>
      </c>
      <c r="H29" s="51">
        <v>66</v>
      </c>
      <c r="I29" s="51">
        <v>69</v>
      </c>
      <c r="J29" s="51">
        <v>70</v>
      </c>
      <c r="K29" s="51">
        <v>78</v>
      </c>
      <c r="L29" s="51">
        <v>92</v>
      </c>
      <c r="M29" s="51">
        <v>92</v>
      </c>
      <c r="N29" s="51">
        <v>98</v>
      </c>
    </row>
    <row r="30" spans="2:14" x14ac:dyDescent="0.25">
      <c r="B30" s="31" t="s">
        <v>188</v>
      </c>
      <c r="C30" s="52">
        <v>946</v>
      </c>
      <c r="D30" s="52">
        <v>951</v>
      </c>
      <c r="E30" s="52">
        <v>680</v>
      </c>
      <c r="F30" s="52">
        <v>775</v>
      </c>
      <c r="G30" s="52">
        <v>860</v>
      </c>
      <c r="H30" s="52">
        <v>938</v>
      </c>
      <c r="I30" s="52">
        <v>3246</v>
      </c>
      <c r="J30" s="52">
        <v>3764</v>
      </c>
      <c r="K30" s="52">
        <v>5647</v>
      </c>
      <c r="L30" s="52">
        <v>5840</v>
      </c>
      <c r="M30" s="52">
        <v>3485</v>
      </c>
      <c r="N30" s="52">
        <v>5730</v>
      </c>
    </row>
    <row r="31" spans="2:14" x14ac:dyDescent="0.25">
      <c r="B31" s="31" t="s">
        <v>189</v>
      </c>
      <c r="C31" s="50">
        <v>226</v>
      </c>
      <c r="D31" s="50">
        <v>282</v>
      </c>
      <c r="E31" s="50">
        <v>203</v>
      </c>
      <c r="F31" s="50">
        <v>227</v>
      </c>
      <c r="G31" s="50">
        <v>248</v>
      </c>
      <c r="H31" s="50">
        <v>276</v>
      </c>
      <c r="I31" s="50">
        <v>508</v>
      </c>
      <c r="J31" s="50">
        <v>711</v>
      </c>
      <c r="K31" s="50">
        <v>961</v>
      </c>
      <c r="L31" s="50">
        <v>1314</v>
      </c>
      <c r="M31" s="50">
        <v>1035</v>
      </c>
      <c r="N31" s="50">
        <v>1835</v>
      </c>
    </row>
    <row r="32" spans="2:14" x14ac:dyDescent="0.25">
      <c r="B32" s="53" t="s">
        <v>202</v>
      </c>
      <c r="C32" s="54">
        <f>C30-C31</f>
        <v>720</v>
      </c>
      <c r="D32" s="54">
        <f t="shared" ref="D32:N32" si="0">D30-D31</f>
        <v>669</v>
      </c>
      <c r="E32" s="54">
        <f t="shared" si="0"/>
        <v>477</v>
      </c>
      <c r="F32" s="54">
        <f t="shared" si="0"/>
        <v>548</v>
      </c>
      <c r="G32" s="54">
        <f t="shared" si="0"/>
        <v>612</v>
      </c>
      <c r="H32" s="54">
        <f t="shared" si="0"/>
        <v>662</v>
      </c>
      <c r="I32" s="54">
        <f t="shared" si="0"/>
        <v>2738</v>
      </c>
      <c r="J32" s="54">
        <f t="shared" si="0"/>
        <v>3053</v>
      </c>
      <c r="K32" s="54">
        <f t="shared" si="0"/>
        <v>4686</v>
      </c>
      <c r="L32" s="54">
        <f t="shared" si="0"/>
        <v>4526</v>
      </c>
      <c r="M32" s="54">
        <f t="shared" si="0"/>
        <v>2450</v>
      </c>
      <c r="N32" s="54">
        <f t="shared" si="0"/>
        <v>3895</v>
      </c>
    </row>
    <row r="33" spans="2:14" x14ac:dyDescent="0.25">
      <c r="B33" s="31"/>
      <c r="C33" s="50"/>
      <c r="D33" s="50"/>
      <c r="E33" s="50"/>
      <c r="F33" s="50"/>
      <c r="G33" s="50"/>
      <c r="H33" s="50"/>
      <c r="I33" s="50"/>
      <c r="J33" s="50"/>
      <c r="K33" s="50"/>
      <c r="L33" s="50"/>
      <c r="M33" s="50"/>
      <c r="N33" s="50"/>
    </row>
    <row r="34" spans="2:14" x14ac:dyDescent="0.25">
      <c r="B34" s="55" t="s">
        <v>190</v>
      </c>
      <c r="C34" s="51">
        <v>138</v>
      </c>
      <c r="D34" s="51">
        <v>92</v>
      </c>
      <c r="E34" s="51">
        <v>55</v>
      </c>
      <c r="F34" s="51">
        <v>5</v>
      </c>
      <c r="G34" s="51">
        <v>10</v>
      </c>
      <c r="H34" s="51">
        <v>87</v>
      </c>
      <c r="I34" s="51">
        <v>23</v>
      </c>
      <c r="J34" s="51">
        <v>108</v>
      </c>
      <c r="K34" s="51">
        <v>105</v>
      </c>
      <c r="L34" s="51">
        <v>102</v>
      </c>
      <c r="M34" s="51">
        <v>224</v>
      </c>
      <c r="N34" s="51">
        <v>180</v>
      </c>
    </row>
    <row r="35" spans="2:14" x14ac:dyDescent="0.25">
      <c r="B35" s="55" t="s">
        <v>191</v>
      </c>
      <c r="C35" s="51">
        <v>300</v>
      </c>
      <c r="D35" s="51">
        <v>740</v>
      </c>
      <c r="E35" s="51">
        <v>1067</v>
      </c>
      <c r="F35" s="51">
        <v>1080</v>
      </c>
      <c r="G35" s="51">
        <v>1023</v>
      </c>
      <c r="H35" s="51">
        <v>883</v>
      </c>
      <c r="I35" s="51">
        <v>1515</v>
      </c>
      <c r="J35" s="51">
        <v>1487</v>
      </c>
      <c r="K35" s="51">
        <v>1284</v>
      </c>
      <c r="L35" s="51">
        <v>1110</v>
      </c>
      <c r="M35" s="51">
        <v>1416</v>
      </c>
      <c r="N35" s="51">
        <v>1480</v>
      </c>
    </row>
    <row r="36" spans="2:14" x14ac:dyDescent="0.25">
      <c r="B36" s="31"/>
      <c r="C36" s="50"/>
      <c r="D36" s="50"/>
      <c r="E36" s="50"/>
      <c r="F36" s="50"/>
      <c r="G36" s="50"/>
      <c r="H36" s="50"/>
      <c r="I36" s="50"/>
      <c r="J36" s="50"/>
      <c r="K36" s="50"/>
      <c r="L36" s="50"/>
      <c r="M36" s="50"/>
      <c r="N36" s="50"/>
    </row>
    <row r="37" spans="2:14" x14ac:dyDescent="0.25">
      <c r="B37" s="31" t="s">
        <v>201</v>
      </c>
      <c r="C37" s="50"/>
      <c r="D37" s="50"/>
      <c r="E37" s="50"/>
      <c r="F37" s="50"/>
      <c r="G37" s="50"/>
      <c r="H37" s="50"/>
      <c r="I37" s="50"/>
      <c r="J37" s="50"/>
      <c r="K37" s="50"/>
      <c r="L37" s="50"/>
      <c r="M37" s="50"/>
      <c r="N37" s="50"/>
    </row>
    <row r="38" spans="2:14" x14ac:dyDescent="0.25">
      <c r="B38" t="s">
        <v>192</v>
      </c>
      <c r="C38" s="51">
        <v>356</v>
      </c>
      <c r="D38" s="51">
        <v>330</v>
      </c>
      <c r="E38" s="51">
        <v>279</v>
      </c>
      <c r="F38" s="51">
        <v>305</v>
      </c>
      <c r="G38" s="51">
        <v>345</v>
      </c>
      <c r="H38" s="51">
        <v>497</v>
      </c>
      <c r="I38" s="51">
        <v>608</v>
      </c>
      <c r="J38" s="51">
        <v>428</v>
      </c>
      <c r="K38" s="51">
        <v>868</v>
      </c>
      <c r="L38" s="51">
        <v>1361</v>
      </c>
      <c r="M38" s="51">
        <v>1583</v>
      </c>
      <c r="N38" s="51">
        <v>2045</v>
      </c>
    </row>
    <row r="39" spans="2:14" x14ac:dyDescent="0.25">
      <c r="B39" t="s">
        <v>193</v>
      </c>
      <c r="C39" s="51">
        <v>18</v>
      </c>
      <c r="D39" s="51">
        <v>18</v>
      </c>
      <c r="E39" s="51">
        <v>13</v>
      </c>
      <c r="F39" s="51">
        <v>6</v>
      </c>
      <c r="G39" s="51">
        <v>15</v>
      </c>
      <c r="H39" s="51">
        <v>17</v>
      </c>
      <c r="I39" s="51">
        <v>17</v>
      </c>
      <c r="J39" s="51">
        <v>21</v>
      </c>
      <c r="K39" s="51">
        <v>18</v>
      </c>
      <c r="L39" s="51">
        <v>34</v>
      </c>
      <c r="M39" s="51">
        <v>82</v>
      </c>
      <c r="N39" s="51">
        <v>63</v>
      </c>
    </row>
    <row r="40" spans="2:14" x14ac:dyDescent="0.25">
      <c r="B40" t="s">
        <v>194</v>
      </c>
      <c r="C40" s="51">
        <v>62</v>
      </c>
      <c r="D40" s="51">
        <v>56</v>
      </c>
      <c r="E40" s="51">
        <v>27</v>
      </c>
      <c r="F40" s="51">
        <v>34</v>
      </c>
      <c r="G40" s="51">
        <v>33</v>
      </c>
      <c r="H40" s="51">
        <v>54</v>
      </c>
      <c r="I40" s="51">
        <v>61</v>
      </c>
      <c r="J40" s="51">
        <v>81</v>
      </c>
      <c r="K40" s="51">
        <v>86</v>
      </c>
      <c r="L40" s="51">
        <v>86</v>
      </c>
      <c r="M40" s="51">
        <v>298</v>
      </c>
      <c r="N40" s="51">
        <v>340</v>
      </c>
    </row>
    <row r="41" spans="2:14" x14ac:dyDescent="0.25">
      <c r="B41" t="s">
        <v>195</v>
      </c>
      <c r="C41" s="51">
        <v>59</v>
      </c>
      <c r="D41" s="51">
        <v>31</v>
      </c>
      <c r="E41" s="51">
        <v>16</v>
      </c>
      <c r="F41" s="51">
        <v>9</v>
      </c>
      <c r="G41" s="51">
        <v>12</v>
      </c>
      <c r="H41" s="51">
        <v>26</v>
      </c>
      <c r="I41" s="51">
        <v>102</v>
      </c>
      <c r="J41" s="51">
        <v>25</v>
      </c>
      <c r="K41" s="51">
        <v>29</v>
      </c>
      <c r="L41" s="51">
        <v>29</v>
      </c>
      <c r="M41" s="51">
        <v>35</v>
      </c>
      <c r="N41" s="51">
        <v>17</v>
      </c>
    </row>
    <row r="42" spans="2:14" x14ac:dyDescent="0.25">
      <c r="B42" t="s">
        <v>196</v>
      </c>
      <c r="C42" s="56">
        <v>283</v>
      </c>
      <c r="D42" s="56">
        <v>272</v>
      </c>
      <c r="E42" s="56">
        <v>223</v>
      </c>
      <c r="F42" s="56">
        <v>233</v>
      </c>
      <c r="G42" s="56">
        <v>286</v>
      </c>
      <c r="H42" s="56">
        <v>332</v>
      </c>
      <c r="I42" s="56">
        <v>442</v>
      </c>
      <c r="J42" s="56">
        <v>519</v>
      </c>
      <c r="K42" s="56">
        <v>650</v>
      </c>
      <c r="L42" s="56">
        <v>832</v>
      </c>
      <c r="M42" s="56">
        <v>1075</v>
      </c>
      <c r="N42" s="56">
        <v>1400</v>
      </c>
    </row>
    <row r="43" spans="2:14" ht="15.75" thickBot="1" x14ac:dyDescent="0.3">
      <c r="B43" s="57" t="s">
        <v>197</v>
      </c>
      <c r="C43" s="59">
        <v>1936</v>
      </c>
      <c r="D43" s="59">
        <v>2207</v>
      </c>
      <c r="E43" s="59">
        <v>2157</v>
      </c>
      <c r="F43" s="59">
        <v>2222</v>
      </c>
      <c r="G43" s="59">
        <v>2336</v>
      </c>
      <c r="H43" s="59">
        <v>2559</v>
      </c>
      <c r="I43" s="59">
        <v>5507</v>
      </c>
      <c r="J43" s="59">
        <v>5724</v>
      </c>
      <c r="K43" s="59">
        <v>7726</v>
      </c>
      <c r="L43" s="59">
        <v>8082</v>
      </c>
      <c r="M43" s="59">
        <v>7162</v>
      </c>
      <c r="N43" s="59">
        <v>9420</v>
      </c>
    </row>
    <row r="45" spans="2:14" x14ac:dyDescent="0.25">
      <c r="B45" s="45" t="s">
        <v>198</v>
      </c>
      <c r="C45" s="47">
        <v>41699</v>
      </c>
      <c r="D45" s="47">
        <v>42064</v>
      </c>
      <c r="E45" s="47">
        <v>42430</v>
      </c>
      <c r="F45" s="47">
        <v>42795</v>
      </c>
      <c r="G45" s="47">
        <v>43160</v>
      </c>
      <c r="H45" s="47">
        <v>43525</v>
      </c>
      <c r="I45" s="47">
        <v>43891</v>
      </c>
      <c r="J45" s="47">
        <v>44256</v>
      </c>
      <c r="K45" s="47">
        <v>44621</v>
      </c>
      <c r="L45" s="47">
        <v>44986</v>
      </c>
      <c r="M45" s="47">
        <v>45352</v>
      </c>
      <c r="N45" s="47">
        <v>45717</v>
      </c>
    </row>
    <row r="46" spans="2:14" x14ac:dyDescent="0.25">
      <c r="B46" s="97" t="s">
        <v>305</v>
      </c>
      <c r="C46" s="51">
        <v>-46</v>
      </c>
      <c r="D46" s="51">
        <v>-10</v>
      </c>
      <c r="E46" s="51">
        <v>109</v>
      </c>
      <c r="F46" s="51">
        <v>102</v>
      </c>
      <c r="G46" s="51">
        <v>77</v>
      </c>
      <c r="H46" s="51">
        <v>21</v>
      </c>
      <c r="I46" s="51">
        <v>361</v>
      </c>
      <c r="J46" s="51">
        <v>285</v>
      </c>
      <c r="K46" s="51">
        <v>58</v>
      </c>
      <c r="L46" s="51">
        <v>595</v>
      </c>
      <c r="M46" s="51">
        <v>1349</v>
      </c>
      <c r="N46" s="51">
        <v>1661</v>
      </c>
    </row>
    <row r="47" spans="2:14" x14ac:dyDescent="0.25">
      <c r="B47" s="95" t="s">
        <v>280</v>
      </c>
      <c r="C47" s="51">
        <v>32</v>
      </c>
      <c r="D47" s="51">
        <v>65</v>
      </c>
      <c r="E47" s="51">
        <v>98</v>
      </c>
      <c r="F47" s="51">
        <v>165</v>
      </c>
      <c r="G47" s="51">
        <v>191</v>
      </c>
      <c r="H47" s="51">
        <v>233</v>
      </c>
      <c r="I47" s="51">
        <v>542</v>
      </c>
      <c r="J47" s="51">
        <v>180</v>
      </c>
      <c r="K47" s="51">
        <v>569</v>
      </c>
      <c r="L47" s="51">
        <v>1079</v>
      </c>
      <c r="M47" s="51">
        <v>1919</v>
      </c>
      <c r="N47" s="51">
        <v>2723</v>
      </c>
    </row>
    <row r="48" spans="2:14" x14ac:dyDescent="0.25">
      <c r="B48" s="96" t="s">
        <v>258</v>
      </c>
      <c r="C48" s="51">
        <v>-8</v>
      </c>
      <c r="D48" s="51">
        <v>-19</v>
      </c>
      <c r="E48" s="51">
        <v>-1</v>
      </c>
      <c r="F48" s="51">
        <v>24</v>
      </c>
      <c r="G48" s="51">
        <v>-54</v>
      </c>
      <c r="H48" s="51">
        <v>-11</v>
      </c>
      <c r="I48" s="51">
        <v>-20</v>
      </c>
      <c r="J48" s="51">
        <v>-39</v>
      </c>
      <c r="K48" s="51">
        <v>-103</v>
      </c>
      <c r="L48" s="51">
        <v>-101</v>
      </c>
      <c r="M48" s="51">
        <v>-208</v>
      </c>
      <c r="N48" s="51">
        <v>-203</v>
      </c>
    </row>
    <row r="49" spans="2:14" x14ac:dyDescent="0.25">
      <c r="B49" s="96" t="s">
        <v>259</v>
      </c>
      <c r="C49" s="51">
        <v>-25</v>
      </c>
      <c r="D49" s="51">
        <v>-3</v>
      </c>
      <c r="E49" s="51">
        <v>-19</v>
      </c>
      <c r="F49" s="51">
        <v>-26</v>
      </c>
      <c r="G49" s="51">
        <v>-39</v>
      </c>
      <c r="H49" s="51">
        <v>-152</v>
      </c>
      <c r="I49" s="51">
        <v>-89</v>
      </c>
      <c r="J49" s="51">
        <v>179</v>
      </c>
      <c r="K49" s="51">
        <v>-439</v>
      </c>
      <c r="L49" s="51">
        <v>-494</v>
      </c>
      <c r="M49" s="51">
        <v>-222</v>
      </c>
      <c r="N49" s="51">
        <v>-462</v>
      </c>
    </row>
    <row r="50" spans="2:14" x14ac:dyDescent="0.25">
      <c r="B50" s="96" t="s">
        <v>281</v>
      </c>
      <c r="C50" s="51">
        <v>-14</v>
      </c>
      <c r="D50" s="51">
        <v>-6</v>
      </c>
      <c r="E50" s="51">
        <v>27</v>
      </c>
      <c r="F50" s="51">
        <v>-9</v>
      </c>
      <c r="G50" s="51">
        <v>43</v>
      </c>
      <c r="H50" s="51">
        <v>49</v>
      </c>
      <c r="I50" s="51">
        <v>26</v>
      </c>
      <c r="J50" s="51">
        <v>-11</v>
      </c>
      <c r="K50" s="51">
        <v>134</v>
      </c>
      <c r="L50" s="51">
        <v>332</v>
      </c>
      <c r="M50" s="51">
        <v>178</v>
      </c>
      <c r="N50" s="51">
        <v>212</v>
      </c>
    </row>
    <row r="51" spans="2:14" x14ac:dyDescent="0.25">
      <c r="B51" s="96" t="s">
        <v>282</v>
      </c>
      <c r="C51" s="51">
        <v>-7</v>
      </c>
      <c r="D51" s="51">
        <v>-34</v>
      </c>
      <c r="E51" s="51">
        <v>24</v>
      </c>
      <c r="F51" s="51">
        <v>-12</v>
      </c>
      <c r="G51" s="51">
        <v>-13</v>
      </c>
      <c r="H51" s="51">
        <v>-21</v>
      </c>
      <c r="I51" s="51">
        <v>-15</v>
      </c>
      <c r="J51" s="51">
        <v>-23</v>
      </c>
      <c r="K51" s="51">
        <v>-22</v>
      </c>
      <c r="L51" s="51">
        <v>-30</v>
      </c>
      <c r="M51" s="51">
        <v>-20</v>
      </c>
      <c r="N51" s="51">
        <v>-115</v>
      </c>
    </row>
    <row r="52" spans="2:14" x14ac:dyDescent="0.25">
      <c r="B52" s="95" t="s">
        <v>283</v>
      </c>
      <c r="C52" s="51">
        <v>-54</v>
      </c>
      <c r="D52" s="51">
        <v>-61</v>
      </c>
      <c r="E52" s="51">
        <v>31</v>
      </c>
      <c r="F52" s="51">
        <v>-24</v>
      </c>
      <c r="G52" s="51">
        <v>-64</v>
      </c>
      <c r="H52" s="51">
        <v>-135</v>
      </c>
      <c r="I52" s="51">
        <v>-97</v>
      </c>
      <c r="J52" s="51">
        <v>106</v>
      </c>
      <c r="K52" s="51">
        <v>-430</v>
      </c>
      <c r="L52" s="51">
        <v>-293</v>
      </c>
      <c r="M52" s="51">
        <v>-272</v>
      </c>
      <c r="N52" s="51">
        <v>-568</v>
      </c>
    </row>
    <row r="53" spans="2:14" x14ac:dyDescent="0.25">
      <c r="B53" s="96" t="s">
        <v>284</v>
      </c>
      <c r="C53" s="51">
        <v>0</v>
      </c>
      <c r="D53" s="51">
        <v>0</v>
      </c>
      <c r="E53" s="51">
        <v>0</v>
      </c>
      <c r="F53" s="51">
        <v>0</v>
      </c>
      <c r="G53" s="51">
        <v>0</v>
      </c>
      <c r="H53" s="51">
        <v>0</v>
      </c>
      <c r="I53" s="51">
        <v>0</v>
      </c>
      <c r="J53" s="51">
        <v>0</v>
      </c>
      <c r="K53" s="51">
        <v>0</v>
      </c>
      <c r="L53" s="51">
        <v>0</v>
      </c>
      <c r="M53" s="51">
        <v>0</v>
      </c>
      <c r="N53" s="51">
        <v>0</v>
      </c>
    </row>
    <row r="54" spans="2:14" x14ac:dyDescent="0.25">
      <c r="B54" s="96" t="s">
        <v>285</v>
      </c>
      <c r="C54" s="51">
        <v>-23</v>
      </c>
      <c r="D54" s="51">
        <v>-13</v>
      </c>
      <c r="E54" s="51">
        <v>-20</v>
      </c>
      <c r="F54" s="51">
        <v>-38</v>
      </c>
      <c r="G54" s="51">
        <v>-50</v>
      </c>
      <c r="H54" s="51">
        <v>-77</v>
      </c>
      <c r="I54" s="51">
        <v>-83</v>
      </c>
      <c r="J54" s="51">
        <v>-1</v>
      </c>
      <c r="K54" s="51">
        <v>-82</v>
      </c>
      <c r="L54" s="51">
        <v>-191</v>
      </c>
      <c r="M54" s="51">
        <v>-299</v>
      </c>
      <c r="N54" s="51">
        <v>-494</v>
      </c>
    </row>
    <row r="55" spans="2:14" x14ac:dyDescent="0.25">
      <c r="B55" s="97" t="s">
        <v>306</v>
      </c>
      <c r="C55" s="51">
        <v>-48</v>
      </c>
      <c r="D55" s="51">
        <v>-306</v>
      </c>
      <c r="E55" s="51">
        <v>-98</v>
      </c>
      <c r="F55" s="51">
        <v>-44</v>
      </c>
      <c r="G55" s="51">
        <v>-4</v>
      </c>
      <c r="H55" s="51">
        <v>-37</v>
      </c>
      <c r="I55" s="51">
        <v>-809</v>
      </c>
      <c r="J55" s="51">
        <v>18</v>
      </c>
      <c r="K55" s="51">
        <v>56</v>
      </c>
      <c r="L55" s="51">
        <v>-103</v>
      </c>
      <c r="M55" s="51">
        <v>-508</v>
      </c>
      <c r="N55" s="51">
        <v>-923</v>
      </c>
    </row>
    <row r="56" spans="2:14" x14ac:dyDescent="0.25">
      <c r="B56" s="96" t="s">
        <v>286</v>
      </c>
      <c r="C56" s="51">
        <v>-136</v>
      </c>
      <c r="D56" s="51">
        <v>-158</v>
      </c>
      <c r="E56" s="51">
        <v>-139</v>
      </c>
      <c r="F56" s="51">
        <v>-71</v>
      </c>
      <c r="G56" s="51">
        <v>-107</v>
      </c>
      <c r="H56" s="51">
        <v>-203</v>
      </c>
      <c r="I56" s="51">
        <v>-156</v>
      </c>
      <c r="J56" s="51">
        <v>-113</v>
      </c>
      <c r="K56" s="51">
        <v>-271</v>
      </c>
      <c r="L56" s="51">
        <v>-503</v>
      </c>
      <c r="M56" s="51">
        <v>-737</v>
      </c>
      <c r="N56" s="51">
        <v>-1268</v>
      </c>
    </row>
    <row r="57" spans="2:14" x14ac:dyDescent="0.25">
      <c r="B57" s="96" t="s">
        <v>287</v>
      </c>
      <c r="C57" s="51">
        <v>0</v>
      </c>
      <c r="D57" s="51">
        <v>2</v>
      </c>
      <c r="E57" s="51">
        <v>8</v>
      </c>
      <c r="F57" s="51">
        <v>2</v>
      </c>
      <c r="G57" s="51">
        <v>1</v>
      </c>
      <c r="H57" s="51">
        <v>7</v>
      </c>
      <c r="I57" s="51">
        <v>42</v>
      </c>
      <c r="J57" s="51">
        <v>22</v>
      </c>
      <c r="K57" s="51">
        <v>61</v>
      </c>
      <c r="L57" s="51">
        <v>280</v>
      </c>
      <c r="M57" s="51">
        <v>343</v>
      </c>
      <c r="N57" s="51">
        <v>407</v>
      </c>
    </row>
    <row r="58" spans="2:14" x14ac:dyDescent="0.25">
      <c r="B58" s="96" t="s">
        <v>288</v>
      </c>
      <c r="C58" s="51">
        <v>-856</v>
      </c>
      <c r="D58" s="51">
        <v>-2739</v>
      </c>
      <c r="E58" s="51">
        <v>-1007</v>
      </c>
      <c r="F58" s="51">
        <v>-937</v>
      </c>
      <c r="G58" s="51">
        <v>-972</v>
      </c>
      <c r="H58" s="51">
        <v>-1285</v>
      </c>
      <c r="I58" s="51">
        <v>-2895</v>
      </c>
      <c r="J58" s="51">
        <v>-591</v>
      </c>
      <c r="K58" s="51">
        <v>-1322</v>
      </c>
      <c r="L58" s="51">
        <v>-1610</v>
      </c>
      <c r="M58" s="51">
        <v>-1938</v>
      </c>
      <c r="N58" s="51">
        <v>-3885</v>
      </c>
    </row>
    <row r="59" spans="2:14" x14ac:dyDescent="0.25">
      <c r="B59" s="96" t="s">
        <v>289</v>
      </c>
      <c r="C59" s="51">
        <v>877</v>
      </c>
      <c r="D59" s="51">
        <v>2521</v>
      </c>
      <c r="E59" s="51">
        <v>989</v>
      </c>
      <c r="F59" s="51">
        <v>951</v>
      </c>
      <c r="G59" s="51">
        <v>1065</v>
      </c>
      <c r="H59" s="51">
        <v>1510</v>
      </c>
      <c r="I59" s="51">
        <v>2237</v>
      </c>
      <c r="J59" s="51">
        <v>731</v>
      </c>
      <c r="K59" s="51">
        <v>1530</v>
      </c>
      <c r="L59" s="51">
        <v>1616</v>
      </c>
      <c r="M59" s="51">
        <v>1808</v>
      </c>
      <c r="N59" s="51">
        <v>3852</v>
      </c>
    </row>
    <row r="60" spans="2:14" x14ac:dyDescent="0.25">
      <c r="B60" s="96" t="s">
        <v>290</v>
      </c>
      <c r="C60" s="51">
        <v>18</v>
      </c>
      <c r="D60" s="51">
        <v>22</v>
      </c>
      <c r="E60" s="51">
        <v>14</v>
      </c>
      <c r="F60" s="51">
        <v>17</v>
      </c>
      <c r="G60" s="51">
        <v>16</v>
      </c>
      <c r="H60" s="51">
        <v>16</v>
      </c>
      <c r="I60" s="51">
        <v>19</v>
      </c>
      <c r="J60" s="51">
        <v>21</v>
      </c>
      <c r="K60" s="51">
        <v>15</v>
      </c>
      <c r="L60" s="51">
        <v>8</v>
      </c>
      <c r="M60" s="51">
        <v>2</v>
      </c>
      <c r="N60" s="51">
        <v>6</v>
      </c>
    </row>
    <row r="61" spans="2:14" x14ac:dyDescent="0.25">
      <c r="B61" s="96" t="s">
        <v>291</v>
      </c>
      <c r="C61" s="51">
        <v>0</v>
      </c>
      <c r="D61" s="51">
        <v>0</v>
      </c>
      <c r="E61" s="51">
        <v>35</v>
      </c>
      <c r="F61" s="51">
        <v>2</v>
      </c>
      <c r="G61" s="51">
        <v>1</v>
      </c>
      <c r="H61" s="51">
        <v>2</v>
      </c>
      <c r="I61" s="51">
        <v>15</v>
      </c>
      <c r="J61" s="51">
        <v>5</v>
      </c>
      <c r="K61" s="51">
        <v>109</v>
      </c>
      <c r="L61" s="51">
        <v>148</v>
      </c>
      <c r="M61" s="51">
        <v>75</v>
      </c>
      <c r="N61" s="51">
        <v>1</v>
      </c>
    </row>
    <row r="62" spans="2:14" x14ac:dyDescent="0.25">
      <c r="B62" s="96" t="s">
        <v>292</v>
      </c>
      <c r="C62" s="51">
        <v>0</v>
      </c>
      <c r="D62" s="51">
        <v>0</v>
      </c>
      <c r="E62" s="51">
        <v>13</v>
      </c>
      <c r="F62" s="51">
        <v>0</v>
      </c>
      <c r="G62" s="51">
        <v>0</v>
      </c>
      <c r="H62" s="51">
        <v>0</v>
      </c>
      <c r="I62" s="51">
        <v>0</v>
      </c>
      <c r="J62" s="51">
        <v>0</v>
      </c>
      <c r="K62" s="51">
        <v>0</v>
      </c>
      <c r="L62" s="51">
        <v>0</v>
      </c>
      <c r="M62" s="51">
        <v>0</v>
      </c>
      <c r="N62" s="51">
        <v>0</v>
      </c>
    </row>
    <row r="63" spans="2:14" x14ac:dyDescent="0.25">
      <c r="B63" s="96" t="s">
        <v>293</v>
      </c>
      <c r="C63" s="51">
        <v>0</v>
      </c>
      <c r="D63" s="51">
        <v>0</v>
      </c>
      <c r="E63" s="51">
        <v>-11</v>
      </c>
      <c r="F63" s="51">
        <v>-8</v>
      </c>
      <c r="G63" s="51">
        <v>-7</v>
      </c>
      <c r="H63" s="51">
        <v>-85</v>
      </c>
      <c r="I63" s="51">
        <v>-22</v>
      </c>
      <c r="J63" s="51">
        <v>-45</v>
      </c>
      <c r="K63" s="51">
        <v>-66</v>
      </c>
      <c r="L63" s="51">
        <v>-52</v>
      </c>
      <c r="M63" s="51">
        <v>-62</v>
      </c>
      <c r="N63" s="51">
        <v>-37</v>
      </c>
    </row>
    <row r="64" spans="2:14" x14ac:dyDescent="0.25">
      <c r="B64" s="96" t="s">
        <v>294</v>
      </c>
      <c r="C64" s="51">
        <v>48</v>
      </c>
      <c r="D64" s="51">
        <v>45</v>
      </c>
      <c r="E64" s="51">
        <v>0</v>
      </c>
      <c r="F64" s="51">
        <v>0</v>
      </c>
      <c r="G64" s="51">
        <v>0</v>
      </c>
      <c r="H64" s="51">
        <v>0</v>
      </c>
      <c r="I64" s="51">
        <v>-49</v>
      </c>
      <c r="J64" s="51">
        <v>-12</v>
      </c>
      <c r="K64" s="51">
        <v>0</v>
      </c>
      <c r="L64" s="51">
        <v>10</v>
      </c>
      <c r="M64" s="51">
        <v>0</v>
      </c>
      <c r="N64" s="51">
        <v>0</v>
      </c>
    </row>
    <row r="65" spans="2:14" x14ac:dyDescent="0.25">
      <c r="B65" s="97" t="s">
        <v>307</v>
      </c>
      <c r="C65" s="51">
        <v>-50</v>
      </c>
      <c r="D65" s="51">
        <v>310</v>
      </c>
      <c r="E65" s="51">
        <v>-13</v>
      </c>
      <c r="F65" s="51">
        <v>-51</v>
      </c>
      <c r="G65" s="51">
        <v>-74</v>
      </c>
      <c r="H65" s="51">
        <v>37</v>
      </c>
      <c r="I65" s="51">
        <v>452</v>
      </c>
      <c r="J65" s="51">
        <v>-283</v>
      </c>
      <c r="K65" s="51">
        <v>-108</v>
      </c>
      <c r="L65" s="51">
        <v>-491</v>
      </c>
      <c r="M65" s="51">
        <v>-629</v>
      </c>
      <c r="N65" s="51">
        <v>-694</v>
      </c>
    </row>
    <row r="66" spans="2:14" x14ac:dyDescent="0.25">
      <c r="B66" s="96" t="s">
        <v>295</v>
      </c>
      <c r="C66" s="51">
        <v>0</v>
      </c>
      <c r="D66" s="51">
        <v>0</v>
      </c>
      <c r="E66" s="51">
        <v>310</v>
      </c>
      <c r="F66" s="51">
        <v>100</v>
      </c>
      <c r="G66" s="51">
        <v>0</v>
      </c>
      <c r="H66" s="51">
        <v>0</v>
      </c>
      <c r="I66" s="51">
        <v>1032</v>
      </c>
      <c r="J66" s="51">
        <v>0</v>
      </c>
      <c r="K66" s="51">
        <v>551</v>
      </c>
      <c r="L66" s="51">
        <v>46</v>
      </c>
      <c r="M66" s="51">
        <v>36</v>
      </c>
      <c r="N66" s="51">
        <v>93</v>
      </c>
    </row>
    <row r="67" spans="2:14" x14ac:dyDescent="0.25">
      <c r="B67" s="96" t="s">
        <v>296</v>
      </c>
      <c r="C67" s="51">
        <v>0</v>
      </c>
      <c r="D67" s="51">
        <v>0</v>
      </c>
      <c r="E67" s="51">
        <v>4</v>
      </c>
      <c r="F67" s="51">
        <v>238</v>
      </c>
      <c r="G67" s="51">
        <v>382</v>
      </c>
      <c r="H67" s="51">
        <v>392</v>
      </c>
      <c r="I67" s="51">
        <v>93</v>
      </c>
      <c r="J67" s="51">
        <v>0</v>
      </c>
      <c r="K67" s="51">
        <v>0</v>
      </c>
      <c r="L67" s="51">
        <v>173</v>
      </c>
      <c r="M67" s="51">
        <v>0</v>
      </c>
      <c r="N67" s="51">
        <v>0</v>
      </c>
    </row>
    <row r="68" spans="2:14" x14ac:dyDescent="0.25">
      <c r="B68" s="96" t="s">
        <v>297</v>
      </c>
      <c r="C68" s="51">
        <v>-4</v>
      </c>
      <c r="D68" s="51">
        <v>-1</v>
      </c>
      <c r="E68" s="51">
        <v>0</v>
      </c>
      <c r="F68" s="51">
        <v>-48</v>
      </c>
      <c r="G68" s="51">
        <v>-282</v>
      </c>
      <c r="H68" s="51">
        <v>-286</v>
      </c>
      <c r="I68" s="51">
        <v>-186</v>
      </c>
      <c r="J68" s="51">
        <v>0</v>
      </c>
      <c r="K68" s="51">
        <v>-301</v>
      </c>
      <c r="L68" s="51">
        <v>-173</v>
      </c>
      <c r="M68" s="51">
        <v>0</v>
      </c>
      <c r="N68" s="51">
        <v>0</v>
      </c>
    </row>
    <row r="69" spans="2:14" x14ac:dyDescent="0.25">
      <c r="B69" s="96" t="s">
        <v>298</v>
      </c>
      <c r="C69" s="51">
        <v>-12</v>
      </c>
      <c r="D69" s="51">
        <v>-11</v>
      </c>
      <c r="E69" s="51">
        <v>-21</v>
      </c>
      <c r="F69" s="51">
        <v>-36</v>
      </c>
      <c r="G69" s="51">
        <v>-32</v>
      </c>
      <c r="H69" s="51">
        <v>-23</v>
      </c>
      <c r="I69" s="51">
        <v>-251</v>
      </c>
      <c r="J69" s="51">
        <v>-184</v>
      </c>
      <c r="K69" s="51">
        <v>-246</v>
      </c>
      <c r="L69" s="51">
        <v>-359</v>
      </c>
      <c r="M69" s="51">
        <v>-309</v>
      </c>
      <c r="N69" s="51">
        <v>-134</v>
      </c>
    </row>
    <row r="70" spans="2:14" x14ac:dyDescent="0.25">
      <c r="B70" s="96" t="s">
        <v>299</v>
      </c>
      <c r="C70" s="51">
        <v>-27</v>
      </c>
      <c r="D70" s="51">
        <v>-27</v>
      </c>
      <c r="E70" s="51">
        <v>-76</v>
      </c>
      <c r="F70" s="51">
        <v>-1</v>
      </c>
      <c r="G70" s="51">
        <v>-40</v>
      </c>
      <c r="H70" s="51">
        <v>-46</v>
      </c>
      <c r="I70" s="51">
        <v>-52</v>
      </c>
      <c r="J70" s="51">
        <v>-36</v>
      </c>
      <c r="K70" s="51">
        <v>-43</v>
      </c>
      <c r="L70" s="51">
        <v>-39</v>
      </c>
      <c r="M70" s="51">
        <v>-78</v>
      </c>
      <c r="N70" s="51">
        <v>-114</v>
      </c>
    </row>
    <row r="71" spans="2:14" x14ac:dyDescent="0.25">
      <c r="B71" s="96" t="s">
        <v>300</v>
      </c>
      <c r="C71" s="51">
        <v>0</v>
      </c>
      <c r="D71" s="51">
        <v>0</v>
      </c>
      <c r="E71" s="51">
        <v>0</v>
      </c>
      <c r="F71" s="51">
        <v>0</v>
      </c>
      <c r="G71" s="51">
        <v>0</v>
      </c>
      <c r="H71" s="51">
        <v>0</v>
      </c>
      <c r="I71" s="51">
        <v>-84</v>
      </c>
      <c r="J71" s="51">
        <v>-63</v>
      </c>
      <c r="K71" s="51">
        <v>-69</v>
      </c>
      <c r="L71" s="51">
        <v>-140</v>
      </c>
      <c r="M71" s="51">
        <v>-277</v>
      </c>
      <c r="N71" s="51">
        <v>-540</v>
      </c>
    </row>
    <row r="72" spans="2:14" x14ac:dyDescent="0.25">
      <c r="B72" s="96" t="s">
        <v>301</v>
      </c>
      <c r="C72" s="51">
        <v>0</v>
      </c>
      <c r="D72" s="51">
        <v>0</v>
      </c>
      <c r="E72" s="51">
        <v>0</v>
      </c>
      <c r="F72" s="51">
        <v>0</v>
      </c>
      <c r="G72" s="51">
        <v>0</v>
      </c>
      <c r="H72" s="51">
        <v>0</v>
      </c>
      <c r="I72" s="51">
        <v>0</v>
      </c>
      <c r="J72" s="51">
        <v>0</v>
      </c>
      <c r="K72" s="51">
        <v>0</v>
      </c>
      <c r="L72" s="51">
        <v>0</v>
      </c>
      <c r="M72" s="51">
        <v>0</v>
      </c>
      <c r="N72" s="51">
        <v>0</v>
      </c>
    </row>
    <row r="73" spans="2:14" x14ac:dyDescent="0.25">
      <c r="B73" s="96" t="s">
        <v>302</v>
      </c>
      <c r="C73" s="51">
        <v>0</v>
      </c>
      <c r="D73" s="51">
        <v>0</v>
      </c>
      <c r="E73" s="51">
        <v>0</v>
      </c>
      <c r="F73" s="51">
        <v>0</v>
      </c>
      <c r="G73" s="51">
        <v>0</v>
      </c>
      <c r="H73" s="51">
        <v>0</v>
      </c>
      <c r="I73" s="51">
        <v>0</v>
      </c>
      <c r="J73" s="51">
        <v>0</v>
      </c>
      <c r="K73" s="51">
        <v>0</v>
      </c>
      <c r="L73" s="51">
        <v>0</v>
      </c>
      <c r="M73" s="51">
        <v>0</v>
      </c>
      <c r="N73" s="51">
        <v>0</v>
      </c>
    </row>
    <row r="74" spans="2:14" x14ac:dyDescent="0.25">
      <c r="B74" s="96" t="s">
        <v>303</v>
      </c>
      <c r="C74" s="51">
        <v>-7</v>
      </c>
      <c r="D74" s="51">
        <v>349</v>
      </c>
      <c r="E74" s="51">
        <v>-230</v>
      </c>
      <c r="F74" s="51">
        <v>-303</v>
      </c>
      <c r="G74" s="51">
        <v>-102</v>
      </c>
      <c r="H74" s="51">
        <v>0</v>
      </c>
      <c r="I74" s="51">
        <v>-100</v>
      </c>
      <c r="J74" s="51">
        <v>0</v>
      </c>
      <c r="K74" s="51">
        <v>0</v>
      </c>
      <c r="L74" s="51">
        <v>0</v>
      </c>
      <c r="M74" s="51">
        <v>0</v>
      </c>
      <c r="N74" s="51">
        <v>0</v>
      </c>
    </row>
    <row r="75" spans="2:14" x14ac:dyDescent="0.25">
      <c r="B75" s="97" t="s">
        <v>304</v>
      </c>
      <c r="C75" s="51">
        <v>-145</v>
      </c>
      <c r="D75" s="51">
        <v>-6</v>
      </c>
      <c r="E75" s="51">
        <v>-2</v>
      </c>
      <c r="F75" s="51">
        <v>7</v>
      </c>
      <c r="G75" s="51">
        <v>-1</v>
      </c>
      <c r="H75" s="51">
        <v>21</v>
      </c>
      <c r="I75" s="51">
        <v>5</v>
      </c>
      <c r="J75" s="51">
        <v>20</v>
      </c>
      <c r="K75" s="51">
        <v>6</v>
      </c>
      <c r="L75" s="51">
        <v>1</v>
      </c>
      <c r="M75" s="51">
        <v>211</v>
      </c>
      <c r="N75" s="51">
        <v>44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57CE9-2DB8-4722-B71F-585E5A8048F7}">
  <dimension ref="A5:L65"/>
  <sheetViews>
    <sheetView showGridLines="0" topLeftCell="A18" zoomScaleNormal="100" workbookViewId="0">
      <selection activeCell="J55" sqref="J55"/>
    </sheetView>
  </sheetViews>
  <sheetFormatPr defaultRowHeight="15" x14ac:dyDescent="0.25"/>
  <cols>
    <col min="1" max="1" width="1.85546875" customWidth="1"/>
    <col min="7" max="7" width="10.85546875" bestFit="1" customWidth="1"/>
    <col min="8" max="8" width="14.28515625" customWidth="1"/>
    <col min="10" max="10" width="14.140625" bestFit="1" customWidth="1"/>
  </cols>
  <sheetData>
    <row r="5" spans="2:11" x14ac:dyDescent="0.25">
      <c r="B5" s="45" t="s">
        <v>203</v>
      </c>
      <c r="C5" s="46"/>
      <c r="D5" s="46"/>
      <c r="E5" s="46"/>
      <c r="F5" s="46"/>
      <c r="G5" s="47">
        <f>'Raw FS'!J5</f>
        <v>44256</v>
      </c>
      <c r="H5" s="47">
        <f>'Raw FS'!K5</f>
        <v>44621</v>
      </c>
      <c r="I5" s="47">
        <f>'Raw FS'!L5</f>
        <v>44986</v>
      </c>
      <c r="J5" s="47">
        <f>'Raw FS'!M5</f>
        <v>45352</v>
      </c>
      <c r="K5" s="47">
        <f>'Raw FS'!N5</f>
        <v>45717</v>
      </c>
    </row>
    <row r="7" spans="2:11" x14ac:dyDescent="0.25">
      <c r="B7" s="31" t="s">
        <v>204</v>
      </c>
    </row>
    <row r="8" spans="2:11" x14ac:dyDescent="0.25">
      <c r="B8" s="61" t="str">
        <f>'Raw FS'!B38</f>
        <v>Inventories</v>
      </c>
      <c r="C8" s="61"/>
      <c r="D8" s="61"/>
      <c r="E8" s="61"/>
      <c r="F8" s="61"/>
      <c r="G8" s="51">
        <f>'Raw FS'!J38</f>
        <v>428</v>
      </c>
      <c r="H8" s="51">
        <f>'Raw FS'!K38</f>
        <v>868</v>
      </c>
      <c r="I8" s="51">
        <f>'Raw FS'!L38</f>
        <v>1361</v>
      </c>
      <c r="J8" s="51">
        <f>'Raw FS'!M38</f>
        <v>1583</v>
      </c>
      <c r="K8" s="51">
        <f>'Raw FS'!N38</f>
        <v>2045</v>
      </c>
    </row>
    <row r="9" spans="2:11" x14ac:dyDescent="0.25">
      <c r="B9" s="61" t="str">
        <f>'Raw FS'!B39</f>
        <v>Trade receivables</v>
      </c>
      <c r="C9" s="61"/>
      <c r="D9" s="61"/>
      <c r="E9" s="61"/>
      <c r="F9" s="61"/>
      <c r="G9" s="51">
        <f>'Raw FS'!J39</f>
        <v>21</v>
      </c>
      <c r="H9" s="51">
        <f>'Raw FS'!K39</f>
        <v>18</v>
      </c>
      <c r="I9" s="51">
        <f>'Raw FS'!L39</f>
        <v>34</v>
      </c>
      <c r="J9" s="51">
        <f>'Raw FS'!M39</f>
        <v>82</v>
      </c>
      <c r="K9" s="51">
        <f>'Raw FS'!N39</f>
        <v>63</v>
      </c>
    </row>
    <row r="10" spans="2:11" x14ac:dyDescent="0.25">
      <c r="B10" s="61" t="str">
        <f>'Raw FS'!B41</f>
        <v>Loans n Advances</v>
      </c>
      <c r="C10" s="61"/>
      <c r="D10" s="61"/>
      <c r="E10" s="61"/>
      <c r="F10" s="61"/>
      <c r="G10" s="51">
        <f>'Raw FS'!J41</f>
        <v>25</v>
      </c>
      <c r="H10" s="51">
        <f>'Raw FS'!K41</f>
        <v>29</v>
      </c>
      <c r="I10" s="51">
        <f>'Raw FS'!L41</f>
        <v>29</v>
      </c>
      <c r="J10" s="51">
        <f>'Raw FS'!M41</f>
        <v>35</v>
      </c>
      <c r="K10" s="51">
        <f>'Raw FS'!N41</f>
        <v>17</v>
      </c>
    </row>
    <row r="11" spans="2:11" x14ac:dyDescent="0.25">
      <c r="B11" t="str">
        <f>'Raw FS'!B42</f>
        <v>Other asset items</v>
      </c>
      <c r="G11" s="50">
        <f>'Raw FS'!J42</f>
        <v>519</v>
      </c>
      <c r="H11" s="50">
        <f>'Raw FS'!K42</f>
        <v>650</v>
      </c>
      <c r="I11" s="50">
        <f>'Raw FS'!L42</f>
        <v>832</v>
      </c>
      <c r="J11" s="50">
        <f>'Raw FS'!M42</f>
        <v>1075</v>
      </c>
      <c r="K11" s="50">
        <f>'Raw FS'!N42</f>
        <v>1400</v>
      </c>
    </row>
    <row r="12" spans="2:11" x14ac:dyDescent="0.25">
      <c r="B12" s="9" t="s">
        <v>205</v>
      </c>
      <c r="C12" s="9"/>
      <c r="D12" s="9"/>
      <c r="E12" s="9"/>
      <c r="F12" s="9"/>
      <c r="G12" s="60">
        <f>SUM(G8:G11)</f>
        <v>993</v>
      </c>
      <c r="H12" s="60">
        <f t="shared" ref="H12:K12" si="0">SUM(H8:H11)</f>
        <v>1565</v>
      </c>
      <c r="I12" s="60">
        <f t="shared" si="0"/>
        <v>2256</v>
      </c>
      <c r="J12" s="60">
        <f t="shared" si="0"/>
        <v>2775</v>
      </c>
      <c r="K12" s="60">
        <f t="shared" si="0"/>
        <v>3525</v>
      </c>
    </row>
    <row r="14" spans="2:11" x14ac:dyDescent="0.25">
      <c r="B14" s="31" t="s">
        <v>208</v>
      </c>
    </row>
    <row r="15" spans="2:11" x14ac:dyDescent="0.25">
      <c r="B15" s="61" t="str">
        <f>'Raw FS'!B16</f>
        <v>Trade Payables</v>
      </c>
      <c r="C15" s="61"/>
      <c r="D15" s="61"/>
      <c r="E15" s="61"/>
      <c r="F15" s="61"/>
      <c r="G15" s="51">
        <f>'Raw FS'!J16</f>
        <v>275</v>
      </c>
      <c r="H15" s="51">
        <f>'Raw FS'!K16</f>
        <v>378</v>
      </c>
      <c r="I15" s="51">
        <f>'Raw FS'!L16</f>
        <v>665</v>
      </c>
      <c r="J15" s="51">
        <f>'Raw FS'!M16</f>
        <v>774</v>
      </c>
      <c r="K15" s="51">
        <f>'Raw FS'!N16</f>
        <v>928</v>
      </c>
    </row>
    <row r="16" spans="2:11" x14ac:dyDescent="0.25">
      <c r="B16" s="61" t="str">
        <f>'Raw FS'!B17</f>
        <v>Other liability items</v>
      </c>
      <c r="C16" s="61"/>
      <c r="D16" s="61"/>
      <c r="E16" s="61"/>
      <c r="F16" s="61"/>
      <c r="G16" s="51">
        <f>'Raw FS'!J17</f>
        <v>2792</v>
      </c>
      <c r="H16" s="51">
        <f>'Raw FS'!K17</f>
        <v>213</v>
      </c>
      <c r="I16" s="51">
        <f>'Raw FS'!L17</f>
        <v>289</v>
      </c>
      <c r="J16" s="51">
        <f>'Raw FS'!M17</f>
        <v>532</v>
      </c>
      <c r="K16" s="51">
        <f>'Raw FS'!N17</f>
        <v>671</v>
      </c>
    </row>
    <row r="17" spans="1:11" x14ac:dyDescent="0.25">
      <c r="B17" s="9" t="s">
        <v>207</v>
      </c>
      <c r="C17" s="9"/>
      <c r="D17" s="9"/>
      <c r="E17" s="9"/>
      <c r="F17" s="9"/>
      <c r="G17" s="60">
        <f>SUM(G15:G16)</f>
        <v>3067</v>
      </c>
      <c r="H17" s="60">
        <f>SUM(H15:H16)</f>
        <v>591</v>
      </c>
      <c r="I17" s="60">
        <f>SUM(I15:I16)</f>
        <v>954</v>
      </c>
      <c r="J17" s="60">
        <f>SUM(J15:J16)</f>
        <v>1306</v>
      </c>
      <c r="K17" s="60">
        <f>SUM(K15:K16)</f>
        <v>1599</v>
      </c>
    </row>
    <row r="19" spans="1:11" ht="15.75" thickBot="1" x14ac:dyDescent="0.3">
      <c r="A19" s="64" t="s">
        <v>210</v>
      </c>
      <c r="B19" s="57" t="s">
        <v>209</v>
      </c>
      <c r="C19" s="57"/>
      <c r="D19" s="57"/>
      <c r="E19" s="57"/>
      <c r="F19" s="57"/>
      <c r="G19" s="62">
        <f>G12-G17</f>
        <v>-2074</v>
      </c>
      <c r="H19" s="62">
        <f t="shared" ref="H19:K19" si="1">H12-H17</f>
        <v>974</v>
      </c>
      <c r="I19" s="62">
        <f t="shared" si="1"/>
        <v>1302</v>
      </c>
      <c r="J19" s="62">
        <f t="shared" si="1"/>
        <v>1469</v>
      </c>
      <c r="K19" s="62">
        <f t="shared" si="1"/>
        <v>1926</v>
      </c>
    </row>
    <row r="20" spans="1:11" x14ac:dyDescent="0.25">
      <c r="A20" s="63"/>
    </row>
    <row r="21" spans="1:11" x14ac:dyDescent="0.25">
      <c r="B21" s="31" t="s">
        <v>211</v>
      </c>
    </row>
    <row r="22" spans="1:11" x14ac:dyDescent="0.25">
      <c r="B22" s="61" t="str">
        <f>'Raw FS'!B21</f>
        <v>Land</v>
      </c>
      <c r="C22" s="61"/>
      <c r="D22" s="61"/>
      <c r="E22" s="61"/>
      <c r="F22" s="61"/>
      <c r="G22" s="51">
        <f>'Raw FS'!J21</f>
        <v>63</v>
      </c>
      <c r="H22" s="51">
        <f>'Raw FS'!K21</f>
        <v>62</v>
      </c>
      <c r="I22" s="51">
        <f>'Raw FS'!L21</f>
        <v>77</v>
      </c>
      <c r="J22" s="51">
        <f>'Raw FS'!M21</f>
        <v>86</v>
      </c>
      <c r="K22" s="51">
        <f>'Raw FS'!N21</f>
        <v>86</v>
      </c>
    </row>
    <row r="23" spans="1:11" x14ac:dyDescent="0.25">
      <c r="B23" s="61" t="str">
        <f>'Raw FS'!B22</f>
        <v>Building</v>
      </c>
      <c r="C23" s="61"/>
      <c r="D23" s="61"/>
      <c r="E23" s="61"/>
      <c r="F23" s="61"/>
      <c r="G23" s="51">
        <f>'Raw FS'!J22</f>
        <v>3117</v>
      </c>
      <c r="H23" s="51">
        <f>'Raw FS'!K22</f>
        <v>4893</v>
      </c>
      <c r="I23" s="51">
        <f>'Raw FS'!L22</f>
        <v>4855</v>
      </c>
      <c r="J23" s="51">
        <f>'Raw FS'!M22</f>
        <v>2162</v>
      </c>
      <c r="K23" s="51">
        <f>'Raw FS'!N22</f>
        <v>3664</v>
      </c>
    </row>
    <row r="24" spans="1:11" x14ac:dyDescent="0.25">
      <c r="B24" s="61" t="str">
        <f>'Raw FS'!B23</f>
        <v>Plant Machinery</v>
      </c>
      <c r="C24" s="61"/>
      <c r="D24" s="61"/>
      <c r="E24" s="61"/>
      <c r="F24" s="61"/>
      <c r="G24" s="51">
        <f>'Raw FS'!J23</f>
        <v>168</v>
      </c>
      <c r="H24" s="51">
        <f>'Raw FS'!K23</f>
        <v>221</v>
      </c>
      <c r="I24" s="51">
        <f>'Raw FS'!L23</f>
        <v>287</v>
      </c>
      <c r="J24" s="51">
        <f>'Raw FS'!M23</f>
        <v>437</v>
      </c>
      <c r="K24" s="51">
        <f>'Raw FS'!N23</f>
        <v>825</v>
      </c>
    </row>
    <row r="25" spans="1:11" x14ac:dyDescent="0.25">
      <c r="B25" s="61" t="str">
        <f>'Raw FS'!B24</f>
        <v>Equipments</v>
      </c>
      <c r="C25" s="61"/>
      <c r="D25" s="61"/>
      <c r="E25" s="61"/>
      <c r="F25" s="61"/>
      <c r="G25" s="51">
        <f>'Raw FS'!J24</f>
        <v>30</v>
      </c>
      <c r="H25" s="51">
        <f>'Raw FS'!K24</f>
        <v>33</v>
      </c>
      <c r="I25" s="51">
        <f>'Raw FS'!L24</f>
        <v>39</v>
      </c>
      <c r="J25" s="51">
        <f>'Raw FS'!M24</f>
        <v>44</v>
      </c>
      <c r="K25" s="51">
        <f>'Raw FS'!N24</f>
        <v>56</v>
      </c>
    </row>
    <row r="26" spans="1:11" x14ac:dyDescent="0.25">
      <c r="B26" s="61" t="str">
        <f>'Raw FS'!B25</f>
        <v>Computers</v>
      </c>
      <c r="C26" s="61"/>
      <c r="D26" s="61"/>
      <c r="E26" s="61"/>
      <c r="F26" s="61"/>
      <c r="G26" s="51">
        <f>'Raw FS'!J25</f>
        <v>59</v>
      </c>
      <c r="H26" s="51">
        <f>'Raw FS'!K25</f>
        <v>70</v>
      </c>
      <c r="I26" s="51">
        <f>'Raw FS'!L25</f>
        <v>98</v>
      </c>
      <c r="J26" s="51">
        <f>'Raw FS'!M25</f>
        <v>112</v>
      </c>
      <c r="K26" s="51">
        <f>'Raw FS'!N25</f>
        <v>175</v>
      </c>
    </row>
    <row r="27" spans="1:11" x14ac:dyDescent="0.25">
      <c r="B27" s="61" t="str">
        <f>'Raw FS'!B26</f>
        <v>Furniture n fittings</v>
      </c>
      <c r="C27" s="61"/>
      <c r="D27" s="61"/>
      <c r="E27" s="61"/>
      <c r="F27" s="61"/>
      <c r="G27" s="51">
        <f>'Raw FS'!J26</f>
        <v>192</v>
      </c>
      <c r="H27" s="51">
        <f>'Raw FS'!K26</f>
        <v>225</v>
      </c>
      <c r="I27" s="51">
        <f>'Raw FS'!L26</f>
        <v>328</v>
      </c>
      <c r="J27" s="51">
        <f>'Raw FS'!M26</f>
        <v>486</v>
      </c>
      <c r="K27" s="51">
        <f>'Raw FS'!N26</f>
        <v>758</v>
      </c>
    </row>
    <row r="28" spans="1:11" x14ac:dyDescent="0.25">
      <c r="B28" s="61" t="str">
        <f>'Raw FS'!B27</f>
        <v>Vehicles</v>
      </c>
      <c r="C28" s="61"/>
      <c r="D28" s="61"/>
      <c r="E28" s="61"/>
      <c r="F28" s="61"/>
      <c r="G28" s="51">
        <f>'Raw FS'!J27</f>
        <v>3</v>
      </c>
      <c r="H28" s="51">
        <f>'Raw FS'!K27</f>
        <v>3</v>
      </c>
      <c r="I28" s="51">
        <f>'Raw FS'!L27</f>
        <v>3</v>
      </c>
      <c r="J28" s="51">
        <f>'Raw FS'!M27</f>
        <v>3</v>
      </c>
      <c r="K28" s="51">
        <f>'Raw FS'!N27</f>
        <v>4</v>
      </c>
    </row>
    <row r="29" spans="1:11" x14ac:dyDescent="0.25">
      <c r="B29" s="61" t="str">
        <f>'Raw FS'!B28</f>
        <v>Intangible Assets</v>
      </c>
      <c r="C29" s="61"/>
      <c r="D29" s="61"/>
      <c r="E29" s="61"/>
      <c r="F29" s="61"/>
      <c r="G29" s="51">
        <f>'Raw FS'!J28</f>
        <v>62</v>
      </c>
      <c r="H29" s="51">
        <f>'Raw FS'!K28</f>
        <v>62</v>
      </c>
      <c r="I29" s="51">
        <f>'Raw FS'!L28</f>
        <v>62</v>
      </c>
      <c r="J29" s="51">
        <f>'Raw FS'!M28</f>
        <v>62</v>
      </c>
      <c r="K29" s="51">
        <f>'Raw FS'!N28</f>
        <v>62</v>
      </c>
    </row>
    <row r="30" spans="1:11" x14ac:dyDescent="0.25">
      <c r="B30" s="61" t="str">
        <f>'Raw FS'!B29</f>
        <v>Other fixed assets</v>
      </c>
      <c r="C30" s="61"/>
      <c r="D30" s="61"/>
      <c r="E30" s="61"/>
      <c r="F30" s="61"/>
      <c r="G30" s="51">
        <f>'Raw FS'!J29</f>
        <v>70</v>
      </c>
      <c r="H30" s="51">
        <f>'Raw FS'!K29</f>
        <v>78</v>
      </c>
      <c r="I30" s="51">
        <f>'Raw FS'!L29</f>
        <v>92</v>
      </c>
      <c r="J30" s="51">
        <f>'Raw FS'!M29</f>
        <v>92</v>
      </c>
      <c r="K30" s="51">
        <f>'Raw FS'!N29</f>
        <v>98</v>
      </c>
    </row>
    <row r="31" spans="1:11" ht="3.75" customHeight="1" x14ac:dyDescent="0.25">
      <c r="G31" s="50"/>
      <c r="H31" s="50"/>
      <c r="I31" s="50"/>
      <c r="J31" s="50"/>
      <c r="K31" s="50"/>
    </row>
    <row r="32" spans="1:11" x14ac:dyDescent="0.25">
      <c r="B32" s="9" t="s">
        <v>188</v>
      </c>
      <c r="C32" s="9"/>
      <c r="D32" s="9"/>
      <c r="E32" s="9"/>
      <c r="F32" s="9"/>
      <c r="G32" s="60">
        <f>SUM(G22:G31)</f>
        <v>3764</v>
      </c>
      <c r="H32" s="60">
        <f>SUM(H22:H31)</f>
        <v>5647</v>
      </c>
      <c r="I32" s="60">
        <f>SUM(I22:I31)</f>
        <v>5841</v>
      </c>
      <c r="J32" s="60">
        <f>SUM(J22:J31)</f>
        <v>3484</v>
      </c>
      <c r="K32" s="60">
        <f>SUM(K22:K31)</f>
        <v>5728</v>
      </c>
    </row>
    <row r="33" spans="1:11" x14ac:dyDescent="0.25">
      <c r="B33" t="str">
        <f>'Raw FS'!B31</f>
        <v>Accumulated Depreciation</v>
      </c>
      <c r="G33">
        <f>-'Raw FS'!J31</f>
        <v>-711</v>
      </c>
      <c r="H33">
        <f>-'Raw FS'!K31</f>
        <v>-961</v>
      </c>
      <c r="I33">
        <f>-'Raw FS'!L31</f>
        <v>-1314</v>
      </c>
      <c r="J33">
        <f>-'Raw FS'!M31</f>
        <v>-1035</v>
      </c>
      <c r="K33">
        <f>-'Raw FS'!N31</f>
        <v>-1835</v>
      </c>
    </row>
    <row r="34" spans="1:11" ht="15.75" thickBot="1" x14ac:dyDescent="0.3">
      <c r="A34" s="64" t="s">
        <v>210</v>
      </c>
      <c r="B34" s="57" t="s">
        <v>212</v>
      </c>
      <c r="C34" s="57"/>
      <c r="D34" s="57"/>
      <c r="E34" s="57"/>
      <c r="F34" s="57"/>
      <c r="G34" s="59">
        <f>SUM(G32:G33)</f>
        <v>3053</v>
      </c>
      <c r="H34" s="59">
        <f t="shared" ref="H34:K34" si="2">SUM(H32:H33)</f>
        <v>4686</v>
      </c>
      <c r="I34" s="59">
        <f t="shared" si="2"/>
        <v>4527</v>
      </c>
      <c r="J34" s="59">
        <f t="shared" si="2"/>
        <v>2449</v>
      </c>
      <c r="K34" s="59">
        <f t="shared" si="2"/>
        <v>3893</v>
      </c>
    </row>
    <row r="36" spans="1:11" x14ac:dyDescent="0.25">
      <c r="A36" s="64" t="s">
        <v>210</v>
      </c>
      <c r="B36" s="31" t="s">
        <v>213</v>
      </c>
      <c r="G36" s="50">
        <f>SUM(G34,G12)</f>
        <v>4046</v>
      </c>
      <c r="H36" s="50">
        <f t="shared" ref="H36:K36" si="3">SUM(H34,H12)</f>
        <v>6251</v>
      </c>
      <c r="I36" s="50">
        <f t="shared" si="3"/>
        <v>6783</v>
      </c>
      <c r="J36" s="50">
        <f t="shared" si="3"/>
        <v>5224</v>
      </c>
      <c r="K36" s="50">
        <f t="shared" si="3"/>
        <v>7418</v>
      </c>
    </row>
    <row r="37" spans="1:11" x14ac:dyDescent="0.25">
      <c r="B37" t="s">
        <v>245</v>
      </c>
      <c r="G37" s="50">
        <f>DCF!C39</f>
        <v>-143.43000000000023</v>
      </c>
      <c r="H37" s="50">
        <f>DCF!D39</f>
        <v>283.90000000000072</v>
      </c>
      <c r="I37" s="50">
        <f>DCF!E39</f>
        <v>620.4600000000014</v>
      </c>
      <c r="J37" s="50">
        <f>DCF!F39</f>
        <v>1299.5800000000004</v>
      </c>
      <c r="K37" s="50">
        <f>DCF!G39</f>
        <v>1924.7799999999997</v>
      </c>
    </row>
    <row r="39" spans="1:11" ht="15.75" thickBot="1" x14ac:dyDescent="0.3">
      <c r="A39" s="64" t="s">
        <v>210</v>
      </c>
      <c r="B39" s="57" t="s">
        <v>277</v>
      </c>
      <c r="C39" s="57"/>
      <c r="D39" s="57"/>
      <c r="E39" s="57"/>
      <c r="F39" s="57"/>
      <c r="G39" s="94">
        <f>G37/G36</f>
        <v>-3.5449826989619432E-2</v>
      </c>
      <c r="H39" s="94">
        <f t="shared" ref="H39:K39" si="4">H37/H36</f>
        <v>4.541673332266849E-2</v>
      </c>
      <c r="I39" s="94">
        <f t="shared" si="4"/>
        <v>9.1472799646174469E-2</v>
      </c>
      <c r="J39" s="94">
        <f t="shared" si="4"/>
        <v>0.2487710566615621</v>
      </c>
      <c r="K39" s="94">
        <f t="shared" si="4"/>
        <v>0.25947425181989753</v>
      </c>
    </row>
    <row r="41" spans="1:11" x14ac:dyDescent="0.25">
      <c r="B41" s="45" t="s">
        <v>278</v>
      </c>
      <c r="C41" s="46"/>
      <c r="D41" s="46"/>
      <c r="E41" s="46"/>
      <c r="F41" s="46"/>
      <c r="G41" s="47">
        <f>G5</f>
        <v>44256</v>
      </c>
      <c r="H41" s="47">
        <f t="shared" ref="H41:K41" si="5">H5</f>
        <v>44621</v>
      </c>
      <c r="I41" s="47">
        <f t="shared" si="5"/>
        <v>44986</v>
      </c>
      <c r="J41" s="47">
        <f t="shared" si="5"/>
        <v>45352</v>
      </c>
      <c r="K41" s="47">
        <f t="shared" si="5"/>
        <v>45717</v>
      </c>
    </row>
    <row r="43" spans="1:11" x14ac:dyDescent="0.25">
      <c r="B43" s="61" t="s">
        <v>279</v>
      </c>
      <c r="C43" s="61"/>
      <c r="D43" s="61"/>
      <c r="E43" s="61"/>
      <c r="F43" s="61"/>
      <c r="G43" s="51">
        <f>-SUM('Raw FS'!J56:J57)</f>
        <v>91</v>
      </c>
      <c r="H43" s="51">
        <f>-SUM('Raw FS'!K56:K57)</f>
        <v>210</v>
      </c>
      <c r="I43" s="51">
        <f>-SUM('Raw FS'!L56:L57)</f>
        <v>223</v>
      </c>
      <c r="J43" s="51">
        <f>-SUM('Raw FS'!M56:M57)</f>
        <v>394</v>
      </c>
      <c r="K43" s="51">
        <f>-SUM('Raw FS'!N56:N57)</f>
        <v>861</v>
      </c>
    </row>
    <row r="44" spans="1:11" x14ac:dyDescent="0.25">
      <c r="B44" s="61" t="s">
        <v>308</v>
      </c>
      <c r="C44" s="61"/>
      <c r="D44" s="61"/>
      <c r="E44" s="61"/>
      <c r="F44" s="61"/>
      <c r="G44" s="51"/>
      <c r="H44" s="51">
        <f>H19-G19</f>
        <v>3048</v>
      </c>
      <c r="I44" s="51">
        <f t="shared" ref="I44:K44" si="6">I19-H19</f>
        <v>328</v>
      </c>
      <c r="J44" s="51">
        <f t="shared" si="6"/>
        <v>167</v>
      </c>
      <c r="K44" s="51">
        <f t="shared" si="6"/>
        <v>457</v>
      </c>
    </row>
    <row r="45" spans="1:11" x14ac:dyDescent="0.25">
      <c r="B45" s="61"/>
      <c r="C45" s="61"/>
      <c r="D45" s="61"/>
      <c r="E45" s="61"/>
      <c r="F45" s="61"/>
      <c r="G45" s="51"/>
      <c r="H45" s="51"/>
      <c r="I45" s="51"/>
      <c r="J45" s="51"/>
      <c r="K45" s="51"/>
    </row>
    <row r="46" spans="1:11" x14ac:dyDescent="0.25">
      <c r="B46" s="61" t="s">
        <v>245</v>
      </c>
      <c r="C46" s="61"/>
      <c r="D46" s="61"/>
      <c r="E46" s="61"/>
      <c r="F46" s="61"/>
      <c r="G46" s="51">
        <f>G37</f>
        <v>-143.43000000000023</v>
      </c>
      <c r="H46" s="51">
        <f t="shared" ref="H46:K46" si="7">H37</f>
        <v>283.90000000000072</v>
      </c>
      <c r="I46" s="51">
        <f t="shared" si="7"/>
        <v>620.4600000000014</v>
      </c>
      <c r="J46" s="51">
        <f t="shared" si="7"/>
        <v>1299.5800000000004</v>
      </c>
      <c r="K46" s="51">
        <f t="shared" si="7"/>
        <v>1924.7799999999997</v>
      </c>
    </row>
    <row r="47" spans="1:11" x14ac:dyDescent="0.25">
      <c r="B47" s="61" t="s">
        <v>309</v>
      </c>
      <c r="C47" s="61"/>
      <c r="D47" s="61"/>
      <c r="E47" s="61"/>
      <c r="F47" s="61"/>
      <c r="G47" s="99">
        <v>0.25</v>
      </c>
      <c r="H47" s="99">
        <f>G47</f>
        <v>0.25</v>
      </c>
      <c r="I47" s="99">
        <f t="shared" ref="I47:K47" si="8">H47</f>
        <v>0.25</v>
      </c>
      <c r="J47" s="99">
        <f t="shared" si="8"/>
        <v>0.25</v>
      </c>
      <c r="K47" s="99">
        <f t="shared" si="8"/>
        <v>0.25</v>
      </c>
    </row>
    <row r="48" spans="1:11" x14ac:dyDescent="0.25">
      <c r="B48" s="61" t="s">
        <v>312</v>
      </c>
      <c r="C48" s="61"/>
      <c r="D48" s="61"/>
      <c r="E48" s="61"/>
      <c r="F48" s="61"/>
      <c r="G48" s="51">
        <f>G46*(1-Tax_rate)</f>
        <v>-107.57250000000018</v>
      </c>
      <c r="H48" s="51">
        <f>H46*(1-Tax_rate)</f>
        <v>212.92500000000052</v>
      </c>
      <c r="I48" s="51">
        <f>I46*(1-Tax_rate)</f>
        <v>465.34500000000105</v>
      </c>
      <c r="J48" s="51">
        <f>J46*(1-Tax_rate)</f>
        <v>974.68500000000029</v>
      </c>
      <c r="K48" s="51">
        <f>K46*(1-Tax_rate)</f>
        <v>1443.5849999999998</v>
      </c>
    </row>
    <row r="50" spans="2:12" x14ac:dyDescent="0.25">
      <c r="B50" s="61" t="s">
        <v>310</v>
      </c>
      <c r="C50" s="61"/>
      <c r="D50" s="61"/>
      <c r="E50" s="61"/>
      <c r="F50" s="61"/>
      <c r="G50" s="61" t="s">
        <v>311</v>
      </c>
      <c r="H50" s="51">
        <f>SUM(H43:H44)</f>
        <v>3258</v>
      </c>
      <c r="I50" s="51">
        <f t="shared" ref="I50:K50" si="9">SUM(I43:I44)</f>
        <v>551</v>
      </c>
      <c r="J50" s="51">
        <f t="shared" si="9"/>
        <v>561</v>
      </c>
      <c r="K50" s="51">
        <f t="shared" si="9"/>
        <v>1318</v>
      </c>
      <c r="L50" s="50"/>
    </row>
    <row r="51" spans="2:12" ht="4.5" customHeight="1" x14ac:dyDescent="0.25">
      <c r="H51" s="50"/>
      <c r="I51" s="50"/>
      <c r="J51" s="50"/>
      <c r="K51" s="50"/>
    </row>
    <row r="52" spans="2:12" ht="15.75" thickBot="1" x14ac:dyDescent="0.3">
      <c r="B52" s="57" t="s">
        <v>313</v>
      </c>
      <c r="C52" s="57"/>
      <c r="D52" s="57"/>
      <c r="E52" s="57"/>
      <c r="F52" s="57"/>
      <c r="G52" s="57"/>
      <c r="H52" s="94">
        <f>H50/H48</f>
        <v>15.301162381120076</v>
      </c>
      <c r="I52" s="94">
        <f t="shared" ref="I52:K52" si="10">I50/I48</f>
        <v>1.1840677346914628</v>
      </c>
      <c r="J52" s="94">
        <f t="shared" si="10"/>
        <v>0.57557056895304615</v>
      </c>
      <c r="K52" s="94">
        <f t="shared" si="10"/>
        <v>0.91300477630343913</v>
      </c>
      <c r="L52" s="112"/>
    </row>
    <row r="53" spans="2:12" x14ac:dyDescent="0.25">
      <c r="J53" s="31"/>
      <c r="K53" s="98"/>
    </row>
    <row r="54" spans="2:12" x14ac:dyDescent="0.25">
      <c r="J54" s="100" t="s">
        <v>314</v>
      </c>
      <c r="K54" s="101">
        <f>AVERAGE(H52:K52)</f>
        <v>4.4934513652670063</v>
      </c>
    </row>
    <row r="55" spans="2:12" x14ac:dyDescent="0.25">
      <c r="J55" s="100" t="s">
        <v>315</v>
      </c>
      <c r="K55" s="101">
        <f>MEDIAN(H52:K52)</f>
        <v>1.0485362554974509</v>
      </c>
    </row>
    <row r="57" spans="2:12" x14ac:dyDescent="0.25">
      <c r="B57" s="45" t="s">
        <v>316</v>
      </c>
      <c r="C57" s="46"/>
      <c r="D57" s="46"/>
      <c r="E57" s="46"/>
      <c r="F57" s="46"/>
      <c r="G57" s="47">
        <f>G41</f>
        <v>44256</v>
      </c>
      <c r="H57" s="47">
        <f t="shared" ref="H57:K57" si="11">H41</f>
        <v>44621</v>
      </c>
      <c r="I57" s="47">
        <f t="shared" si="11"/>
        <v>44986</v>
      </c>
      <c r="J57" s="47">
        <f t="shared" si="11"/>
        <v>45352</v>
      </c>
      <c r="K57" s="47">
        <f t="shared" si="11"/>
        <v>45717</v>
      </c>
    </row>
    <row r="59" spans="2:12" x14ac:dyDescent="0.25">
      <c r="B59" s="61" t="s">
        <v>317</v>
      </c>
      <c r="C59" s="61"/>
      <c r="D59" s="61"/>
      <c r="E59" s="61"/>
      <c r="F59" s="61"/>
      <c r="G59" s="61"/>
      <c r="H59" s="102">
        <f>H52</f>
        <v>15.301162381120076</v>
      </c>
      <c r="I59" s="102">
        <f t="shared" ref="I59:K59" si="12">I52</f>
        <v>1.1840677346914628</v>
      </c>
      <c r="J59" s="102">
        <f t="shared" si="12"/>
        <v>0.57557056895304615</v>
      </c>
      <c r="K59" s="102">
        <f t="shared" si="12"/>
        <v>0.91300477630343913</v>
      </c>
    </row>
    <row r="60" spans="2:12" x14ac:dyDescent="0.25">
      <c r="B60" s="61" t="s">
        <v>277</v>
      </c>
      <c r="C60" s="61"/>
      <c r="D60" s="61"/>
      <c r="E60" s="61"/>
      <c r="F60" s="61"/>
      <c r="G60" s="61"/>
      <c r="H60" s="102">
        <f>H39</f>
        <v>4.541673332266849E-2</v>
      </c>
      <c r="I60" s="102">
        <f t="shared" ref="I60:K60" si="13">I39</f>
        <v>9.1472799646174469E-2</v>
      </c>
      <c r="J60" s="102">
        <f t="shared" si="13"/>
        <v>0.2487710566615621</v>
      </c>
      <c r="K60" s="102">
        <f t="shared" si="13"/>
        <v>0.25947425181989753</v>
      </c>
    </row>
    <row r="61" spans="2:12" ht="4.5" customHeight="1" x14ac:dyDescent="0.25"/>
    <row r="62" spans="2:12" ht="15.75" thickBot="1" x14ac:dyDescent="0.3">
      <c r="B62" s="57" t="s">
        <v>318</v>
      </c>
      <c r="C62" s="57"/>
      <c r="D62" s="57"/>
      <c r="E62" s="57"/>
      <c r="F62" s="57"/>
      <c r="G62" s="57"/>
      <c r="H62" s="103">
        <f>H59*H60</f>
        <v>0.6949288113901777</v>
      </c>
      <c r="I62" s="103">
        <f t="shared" ref="I62:K62" si="14">I59*I60</f>
        <v>0.10830999066293184</v>
      </c>
      <c r="J62" s="103">
        <f t="shared" si="14"/>
        <v>0.14318529862174578</v>
      </c>
      <c r="K62" s="103">
        <f t="shared" si="14"/>
        <v>0.23690123123932777</v>
      </c>
    </row>
    <row r="64" spans="2:12" x14ac:dyDescent="0.25">
      <c r="J64" s="100" t="s">
        <v>314</v>
      </c>
      <c r="K64" s="101">
        <f>AVERAGE(H62:K62)</f>
        <v>0.2958313329785458</v>
      </c>
    </row>
    <row r="65" spans="10:11" x14ac:dyDescent="0.25">
      <c r="J65" s="100" t="s">
        <v>315</v>
      </c>
      <c r="K65" s="101">
        <f>MEDIAN(H62:K62)</f>
        <v>0.19004326493053678</v>
      </c>
    </row>
  </sheetData>
  <pageMargins left="0.7" right="0.7" top="0.75" bottom="0.75" header="0.3" footer="0.3"/>
  <ignoredErrors>
    <ignoredError sqref="G43:K43" formulaRange="1"/>
  </ignoredError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E1FC7-BA6C-4790-8403-6331CD31C26C}">
  <dimension ref="B5:T114"/>
  <sheetViews>
    <sheetView workbookViewId="0">
      <selection activeCell="B9" sqref="B9:C113"/>
    </sheetView>
  </sheetViews>
  <sheetFormatPr defaultRowHeight="18.95" customHeight="1" x14ac:dyDescent="0.25"/>
  <cols>
    <col min="1" max="1" width="1.85546875" customWidth="1"/>
    <col min="2" max="2" width="10.7109375" bestFit="1" customWidth="1"/>
    <col min="3" max="8" width="12.7109375" customWidth="1"/>
    <col min="9" max="9" width="20.140625" customWidth="1"/>
    <col min="10" max="13" width="12.7109375" customWidth="1"/>
    <col min="14" max="14" width="14.5703125" bestFit="1" customWidth="1"/>
    <col min="15" max="15" width="12.7109375" customWidth="1"/>
    <col min="17" max="17" width="13.42578125" bestFit="1" customWidth="1"/>
    <col min="18" max="18" width="11" bestFit="1" customWidth="1"/>
    <col min="19" max="19" width="12.42578125" bestFit="1" customWidth="1"/>
    <col min="20" max="20" width="12.5703125" bestFit="1" customWidth="1"/>
  </cols>
  <sheetData>
    <row r="5" spans="2:13" ht="18.95" customHeight="1" x14ac:dyDescent="0.25">
      <c r="B5" s="31" t="s">
        <v>54</v>
      </c>
    </row>
    <row r="7" spans="2:13" ht="18.95" customHeight="1" x14ac:dyDescent="0.25">
      <c r="B7" s="140" t="s">
        <v>55</v>
      </c>
      <c r="C7" s="140"/>
      <c r="D7" s="140"/>
      <c r="F7" s="140" t="s">
        <v>59</v>
      </c>
      <c r="G7" s="140"/>
      <c r="I7" s="140" t="s">
        <v>60</v>
      </c>
      <c r="J7" s="140"/>
    </row>
    <row r="9" spans="2:13" ht="18.95" customHeight="1" x14ac:dyDescent="0.25">
      <c r="B9" s="33" t="s">
        <v>56</v>
      </c>
      <c r="C9" s="33" t="s">
        <v>57</v>
      </c>
      <c r="D9" s="33" t="s">
        <v>58</v>
      </c>
      <c r="F9" s="33" t="s">
        <v>57</v>
      </c>
      <c r="G9" s="33" t="s">
        <v>58</v>
      </c>
      <c r="I9" s="31" t="s">
        <v>153</v>
      </c>
      <c r="J9" s="20">
        <f>M10</f>
        <v>-0.35335639544475655</v>
      </c>
    </row>
    <row r="10" spans="2:13" ht="18.95" customHeight="1" x14ac:dyDescent="0.25">
      <c r="B10" s="36" t="s">
        <v>61</v>
      </c>
      <c r="C10" s="34">
        <v>3721.3</v>
      </c>
      <c r="F10" s="34">
        <v>25320.65</v>
      </c>
      <c r="I10" t="s">
        <v>154</v>
      </c>
      <c r="J10" s="22">
        <v>0.75</v>
      </c>
      <c r="L10" s="31" t="s">
        <v>124</v>
      </c>
      <c r="M10" s="44">
        <f>SLOPE(D11:D113,G11:G113)</f>
        <v>-0.35335639544475655</v>
      </c>
    </row>
    <row r="11" spans="2:13" ht="18.95" customHeight="1" x14ac:dyDescent="0.25">
      <c r="B11" s="36" t="s">
        <v>62</v>
      </c>
      <c r="C11" s="34">
        <v>3785.5</v>
      </c>
      <c r="D11" s="38">
        <f>(C11/C10)-1</f>
        <v>1.7252035578964264E-2</v>
      </c>
      <c r="F11" s="34">
        <v>25048.65</v>
      </c>
      <c r="G11" s="38">
        <f>(F11/F10)-1</f>
        <v>-1.0742220282654702E-2</v>
      </c>
      <c r="L11" s="31" t="s">
        <v>125</v>
      </c>
      <c r="M11" s="44">
        <f>_xlfn.COVARIANCE.S(D10:D113,G10:G113)/_xlfn.VAR.S(G10:G113)</f>
        <v>-0.35335639544475667</v>
      </c>
    </row>
    <row r="12" spans="2:13" ht="18.95" customHeight="1" x14ac:dyDescent="0.25">
      <c r="B12" s="36">
        <v>46327</v>
      </c>
      <c r="C12" s="34">
        <v>3755.9</v>
      </c>
      <c r="D12" s="38">
        <f t="shared" ref="D12:D75" si="0">(C12/C11)-1</f>
        <v>-7.8193105270109031E-3</v>
      </c>
      <c r="F12" s="34">
        <v>25694.35</v>
      </c>
      <c r="G12" s="38">
        <f t="shared" ref="G12:G75" si="1">(F12/F11)-1</f>
        <v>2.5777836330500792E-2</v>
      </c>
      <c r="I12" t="s">
        <v>156</v>
      </c>
      <c r="J12">
        <v>1</v>
      </c>
    </row>
    <row r="13" spans="2:13" ht="18.95" customHeight="1" x14ac:dyDescent="0.25">
      <c r="B13" s="36">
        <v>46113</v>
      </c>
      <c r="C13" s="34">
        <v>3899.7</v>
      </c>
      <c r="D13" s="38">
        <f t="shared" si="0"/>
        <v>3.8286429351154005E-2</v>
      </c>
      <c r="F13" s="34">
        <v>25683.3</v>
      </c>
      <c r="G13" s="38">
        <f t="shared" si="1"/>
        <v>-4.3005563479903142E-4</v>
      </c>
      <c r="I13" t="s">
        <v>155</v>
      </c>
      <c r="J13" s="22">
        <v>0.25</v>
      </c>
      <c r="L13" s="31" t="s">
        <v>126</v>
      </c>
      <c r="M13" s="44">
        <f>M32</f>
        <v>-0.35335639544475667</v>
      </c>
    </row>
    <row r="14" spans="2:13" ht="18.95" customHeight="1" x14ac:dyDescent="0.25">
      <c r="B14" s="36" t="s">
        <v>63</v>
      </c>
      <c r="C14" s="34">
        <v>3972.9</v>
      </c>
      <c r="D14" s="38">
        <f t="shared" si="0"/>
        <v>1.8770674667282217E-2</v>
      </c>
      <c r="F14" s="34">
        <v>26328.55</v>
      </c>
      <c r="G14" s="38">
        <f t="shared" si="1"/>
        <v>2.5123329167201947E-2</v>
      </c>
    </row>
    <row r="15" spans="2:13" ht="18.95" customHeight="1" x14ac:dyDescent="0.25">
      <c r="B15" s="36" t="s">
        <v>64</v>
      </c>
      <c r="C15" s="34">
        <v>4409.6000000000004</v>
      </c>
      <c r="D15" s="38">
        <f t="shared" si="0"/>
        <v>0.10991970600820555</v>
      </c>
      <c r="F15" s="34">
        <v>26042.3</v>
      </c>
      <c r="G15" s="38">
        <f t="shared" si="1"/>
        <v>-1.0872228056615363E-2</v>
      </c>
      <c r="I15" s="43" t="s">
        <v>157</v>
      </c>
      <c r="J15" s="8">
        <f>(J9*J10)+(J12*J13)</f>
        <v>-1.501729658356743E-2</v>
      </c>
      <c r="L15" t="s">
        <v>128</v>
      </c>
    </row>
    <row r="16" spans="2:13" ht="18.95" customHeight="1" thickBot="1" x14ac:dyDescent="0.3">
      <c r="B16" s="36" t="s">
        <v>65</v>
      </c>
      <c r="C16" s="34">
        <v>4285.3</v>
      </c>
      <c r="D16" s="38">
        <f t="shared" si="0"/>
        <v>-2.8188497822931868E-2</v>
      </c>
      <c r="F16" s="34">
        <v>25966.400000000001</v>
      </c>
      <c r="G16" s="38">
        <f t="shared" si="1"/>
        <v>-2.9144891196245526E-3</v>
      </c>
    </row>
    <row r="17" spans="2:20" ht="18.95" customHeight="1" x14ac:dyDescent="0.25">
      <c r="B17" s="36">
        <v>45850</v>
      </c>
      <c r="C17" s="34">
        <v>4062.2</v>
      </c>
      <c r="D17" s="38">
        <f t="shared" si="0"/>
        <v>-5.2061699297598851E-2</v>
      </c>
      <c r="F17" s="34">
        <v>26046.95</v>
      </c>
      <c r="G17" s="38">
        <f t="shared" si="1"/>
        <v>3.10208577238269E-3</v>
      </c>
      <c r="L17" s="41" t="s">
        <v>129</v>
      </c>
      <c r="M17" s="41"/>
    </row>
    <row r="18" spans="2:20" ht="18.95" customHeight="1" x14ac:dyDescent="0.25">
      <c r="B18" s="36" t="s">
        <v>66</v>
      </c>
      <c r="C18" s="34">
        <v>4075.4</v>
      </c>
      <c r="D18" s="38">
        <f t="shared" si="0"/>
        <v>3.2494707301462533E-3</v>
      </c>
      <c r="F18" s="34">
        <v>26186.45</v>
      </c>
      <c r="G18" s="38">
        <f t="shared" si="1"/>
        <v>5.3557134328587885E-3</v>
      </c>
      <c r="L18" t="s">
        <v>130</v>
      </c>
      <c r="M18">
        <v>0.11875998135540983</v>
      </c>
    </row>
    <row r="19" spans="2:20" ht="18.95" customHeight="1" x14ac:dyDescent="0.25">
      <c r="B19" s="36" t="s">
        <v>67</v>
      </c>
      <c r="C19" s="34">
        <v>4183.1000000000004</v>
      </c>
      <c r="D19" s="38">
        <f t="shared" si="0"/>
        <v>2.6426853805761485E-2</v>
      </c>
      <c r="F19" s="34">
        <v>26202.95</v>
      </c>
      <c r="G19" s="38">
        <f t="shared" si="1"/>
        <v>6.3009686307236024E-4</v>
      </c>
      <c r="L19" t="s">
        <v>131</v>
      </c>
      <c r="M19">
        <v>1.4103933171537289E-2</v>
      </c>
    </row>
    <row r="20" spans="2:20" ht="18.95" customHeight="1" x14ac:dyDescent="0.25">
      <c r="B20" s="36" t="s">
        <v>68</v>
      </c>
      <c r="C20" s="34">
        <v>4250.3999999999996</v>
      </c>
      <c r="D20" s="38">
        <f t="shared" si="0"/>
        <v>1.6088546771532819E-2</v>
      </c>
      <c r="F20" s="34">
        <v>26068.15</v>
      </c>
      <c r="G20" s="38">
        <f t="shared" si="1"/>
        <v>-5.144458925426254E-3</v>
      </c>
      <c r="L20" t="s">
        <v>132</v>
      </c>
      <c r="M20">
        <v>4.3425859752158763E-3</v>
      </c>
    </row>
    <row r="21" spans="2:20" ht="18.95" customHeight="1" x14ac:dyDescent="0.25">
      <c r="B21" s="36">
        <v>45911</v>
      </c>
      <c r="C21" s="34">
        <v>4359.1000000000004</v>
      </c>
      <c r="D21" s="38">
        <f t="shared" si="0"/>
        <v>2.5574063617542109E-2</v>
      </c>
      <c r="F21" s="34">
        <v>25910.05</v>
      </c>
      <c r="G21" s="38">
        <f t="shared" si="1"/>
        <v>-6.0648722674989664E-3</v>
      </c>
      <c r="L21" t="s">
        <v>133</v>
      </c>
      <c r="M21">
        <v>5.0003310073108244E-2</v>
      </c>
    </row>
    <row r="22" spans="2:20" ht="18.95" customHeight="1" thickBot="1" x14ac:dyDescent="0.3">
      <c r="B22" s="36">
        <v>45699</v>
      </c>
      <c r="C22" s="34">
        <v>4391.2</v>
      </c>
      <c r="D22" s="38">
        <f t="shared" si="0"/>
        <v>7.3639053933149956E-3</v>
      </c>
      <c r="F22" s="34">
        <v>25492.3</v>
      </c>
      <c r="G22" s="38">
        <f t="shared" si="1"/>
        <v>-1.6123087373432266E-2</v>
      </c>
      <c r="L22" s="39" t="s">
        <v>134</v>
      </c>
      <c r="M22" s="39">
        <v>103</v>
      </c>
    </row>
    <row r="23" spans="2:20" ht="18.95" customHeight="1" x14ac:dyDescent="0.25">
      <c r="B23" s="36" t="s">
        <v>69</v>
      </c>
      <c r="C23" s="34">
        <v>4627.3</v>
      </c>
      <c r="D23" s="38">
        <f t="shared" si="0"/>
        <v>5.376662415740574E-2</v>
      </c>
      <c r="F23" s="34">
        <v>25722.1</v>
      </c>
      <c r="G23" s="38">
        <f t="shared" si="1"/>
        <v>9.0144867273647122E-3</v>
      </c>
    </row>
    <row r="24" spans="2:20" ht="18.95" customHeight="1" thickBot="1" x14ac:dyDescent="0.3">
      <c r="B24" s="36" t="s">
        <v>70</v>
      </c>
      <c r="C24" s="34">
        <v>4694.3</v>
      </c>
      <c r="D24" s="38">
        <f t="shared" si="0"/>
        <v>1.447928597670356E-2</v>
      </c>
      <c r="F24" s="34">
        <v>25795.15</v>
      </c>
      <c r="G24" s="38">
        <f t="shared" si="1"/>
        <v>2.839970297915162E-3</v>
      </c>
      <c r="L24" t="s">
        <v>135</v>
      </c>
    </row>
    <row r="25" spans="2:20" ht="18.95" customHeight="1" x14ac:dyDescent="0.25">
      <c r="B25" s="36">
        <v>46001</v>
      </c>
      <c r="C25" s="34">
        <v>4789.6000000000004</v>
      </c>
      <c r="D25" s="38">
        <f t="shared" si="0"/>
        <v>2.0301216368787678E-2</v>
      </c>
      <c r="F25" s="34">
        <v>25709.85</v>
      </c>
      <c r="G25" s="38">
        <f t="shared" si="1"/>
        <v>-3.3068231818773608E-3</v>
      </c>
      <c r="L25" s="40"/>
      <c r="M25" s="40" t="s">
        <v>140</v>
      </c>
      <c r="N25" s="40" t="s">
        <v>141</v>
      </c>
      <c r="O25" s="40" t="s">
        <v>142</v>
      </c>
      <c r="P25" s="40" t="s">
        <v>143</v>
      </c>
      <c r="Q25" s="40" t="s">
        <v>144</v>
      </c>
    </row>
    <row r="26" spans="2:20" ht="18.95" customHeight="1" x14ac:dyDescent="0.25">
      <c r="B26" s="36">
        <v>45787</v>
      </c>
      <c r="C26" s="34">
        <v>4814.3999999999996</v>
      </c>
      <c r="D26" s="38">
        <f t="shared" si="0"/>
        <v>5.1778854184063583E-3</v>
      </c>
      <c r="F26" s="34">
        <v>25285.35</v>
      </c>
      <c r="G26" s="38">
        <f t="shared" si="1"/>
        <v>-1.6511181512144146E-2</v>
      </c>
      <c r="L26" t="s">
        <v>136</v>
      </c>
      <c r="M26">
        <v>1</v>
      </c>
      <c r="N26">
        <v>3.6126674811500226E-3</v>
      </c>
      <c r="O26">
        <v>3.6126674811500226E-3</v>
      </c>
      <c r="P26">
        <v>1.4448756803622753</v>
      </c>
      <c r="Q26">
        <v>0.23216271334102467</v>
      </c>
    </row>
    <row r="27" spans="2:20" ht="18.95" customHeight="1" x14ac:dyDescent="0.25">
      <c r="B27" s="36" t="s">
        <v>71</v>
      </c>
      <c r="C27" s="34">
        <v>4691.1000000000004</v>
      </c>
      <c r="D27" s="38">
        <f t="shared" si="0"/>
        <v>-2.561066799601186E-2</v>
      </c>
      <c r="F27" s="34">
        <v>24894.25</v>
      </c>
      <c r="G27" s="38">
        <f t="shared" si="1"/>
        <v>-1.5467454474626607E-2</v>
      </c>
      <c r="L27" t="s">
        <v>137</v>
      </c>
      <c r="M27">
        <v>101</v>
      </c>
      <c r="N27">
        <v>0.25253343284500829</v>
      </c>
      <c r="O27">
        <v>2.5003310182674086E-3</v>
      </c>
    </row>
    <row r="28" spans="2:20" ht="18.95" customHeight="1" thickBot="1" x14ac:dyDescent="0.3">
      <c r="B28" s="36" t="s">
        <v>72</v>
      </c>
      <c r="C28" s="34">
        <v>4815.7</v>
      </c>
      <c r="D28" s="38">
        <f t="shared" si="0"/>
        <v>2.6560934535609926E-2</v>
      </c>
      <c r="F28" s="34">
        <v>24654.7</v>
      </c>
      <c r="G28" s="38">
        <f t="shared" si="1"/>
        <v>-9.6227040380810758E-3</v>
      </c>
      <c r="L28" s="39" t="s">
        <v>138</v>
      </c>
      <c r="M28" s="39">
        <v>102</v>
      </c>
      <c r="N28" s="39">
        <v>0.25614610032615831</v>
      </c>
      <c r="O28" s="39"/>
      <c r="P28" s="39"/>
      <c r="Q28" s="39"/>
    </row>
    <row r="29" spans="2:20" ht="18.95" customHeight="1" thickBot="1" x14ac:dyDescent="0.3">
      <c r="B29" s="36" t="s">
        <v>73</v>
      </c>
      <c r="C29" s="34">
        <v>4679</v>
      </c>
      <c r="D29" s="38">
        <f t="shared" si="0"/>
        <v>-2.8386319745831279E-2</v>
      </c>
      <c r="F29" s="34">
        <v>25327.05</v>
      </c>
      <c r="G29" s="38">
        <f t="shared" si="1"/>
        <v>2.7270662388915623E-2</v>
      </c>
    </row>
    <row r="30" spans="2:20" ht="18.95" customHeight="1" x14ac:dyDescent="0.25">
      <c r="B30" s="36">
        <v>45847</v>
      </c>
      <c r="C30" s="34">
        <v>5080</v>
      </c>
      <c r="D30" s="38">
        <f t="shared" si="0"/>
        <v>8.5702073092541076E-2</v>
      </c>
      <c r="F30" s="34">
        <v>25114</v>
      </c>
      <c r="G30" s="38">
        <f t="shared" si="1"/>
        <v>-8.4119548072120187E-3</v>
      </c>
      <c r="L30" s="40"/>
      <c r="M30" s="40" t="s">
        <v>145</v>
      </c>
      <c r="N30" s="40" t="s">
        <v>133</v>
      </c>
      <c r="O30" s="40" t="s">
        <v>146</v>
      </c>
      <c r="P30" s="40" t="s">
        <v>147</v>
      </c>
      <c r="Q30" s="40" t="s">
        <v>148</v>
      </c>
      <c r="R30" s="40" t="s">
        <v>149</v>
      </c>
      <c r="S30" s="40" t="s">
        <v>150</v>
      </c>
      <c r="T30" s="40" t="s">
        <v>151</v>
      </c>
    </row>
    <row r="31" spans="2:20" ht="18.95" customHeight="1" x14ac:dyDescent="0.25">
      <c r="B31" s="36" t="s">
        <v>74</v>
      </c>
      <c r="C31" s="34">
        <v>5130</v>
      </c>
      <c r="D31" s="38">
        <f t="shared" si="0"/>
        <v>9.8425196850393526E-3</v>
      </c>
      <c r="F31" s="34">
        <v>24741</v>
      </c>
      <c r="G31" s="38">
        <f t="shared" si="1"/>
        <v>-1.4852273632236956E-2</v>
      </c>
      <c r="L31" t="s">
        <v>139</v>
      </c>
      <c r="M31">
        <v>1.5107526100686091E-3</v>
      </c>
      <c r="N31">
        <v>4.9422328325959648E-3</v>
      </c>
      <c r="O31">
        <v>0.30568220098911625</v>
      </c>
      <c r="P31">
        <v>0.76047576988832455</v>
      </c>
      <c r="Q31">
        <v>-8.2933078837771033E-3</v>
      </c>
      <c r="R31">
        <v>1.1314813103914322E-2</v>
      </c>
      <c r="S31">
        <v>-8.2933078837771033E-3</v>
      </c>
      <c r="T31">
        <v>1.1314813103914322E-2</v>
      </c>
    </row>
    <row r="32" spans="2:20" ht="18.95" customHeight="1" thickBot="1" x14ac:dyDescent="0.3">
      <c r="B32" s="36" t="s">
        <v>75</v>
      </c>
      <c r="C32" s="34">
        <v>5528.5</v>
      </c>
      <c r="D32" s="38">
        <f t="shared" si="0"/>
        <v>7.7680311890838238E-2</v>
      </c>
      <c r="F32" s="34">
        <v>24426.85</v>
      </c>
      <c r="G32" s="38">
        <f t="shared" si="1"/>
        <v>-1.2697546582595698E-2</v>
      </c>
      <c r="L32" s="39" t="s">
        <v>152</v>
      </c>
      <c r="M32" s="39">
        <v>-0.35335639544475667</v>
      </c>
      <c r="N32" s="39">
        <v>0.29396641457646044</v>
      </c>
      <c r="O32" s="39">
        <v>-1.2020298167525834</v>
      </c>
      <c r="P32" s="39">
        <v>0.23216271334102836</v>
      </c>
      <c r="Q32" s="39">
        <v>-0.93650668586778152</v>
      </c>
      <c r="R32" s="39">
        <v>0.22979389497826824</v>
      </c>
      <c r="S32" s="39">
        <v>-0.93650668586778152</v>
      </c>
      <c r="T32" s="39">
        <v>0.22979389497826824</v>
      </c>
    </row>
    <row r="33" spans="2:7" ht="18.95" customHeight="1" x14ac:dyDescent="0.25">
      <c r="B33" s="36" t="s">
        <v>76</v>
      </c>
      <c r="C33" s="34">
        <v>5298</v>
      </c>
      <c r="D33" s="38">
        <f t="shared" si="0"/>
        <v>-4.1693045129782003E-2</v>
      </c>
      <c r="F33" s="34">
        <v>24870.1</v>
      </c>
      <c r="G33" s="38">
        <f t="shared" si="1"/>
        <v>1.8146015552557904E-2</v>
      </c>
    </row>
    <row r="34" spans="2:7" ht="18.95" customHeight="1" x14ac:dyDescent="0.25">
      <c r="B34" s="36">
        <v>45938</v>
      </c>
      <c r="C34" s="34">
        <v>5418</v>
      </c>
      <c r="D34" s="38">
        <f t="shared" si="0"/>
        <v>2.2650056625141524E-2</v>
      </c>
      <c r="F34" s="34">
        <v>24631.3</v>
      </c>
      <c r="G34" s="38">
        <f t="shared" si="1"/>
        <v>-9.6018914278591661E-3</v>
      </c>
    </row>
    <row r="35" spans="2:7" ht="18.95" customHeight="1" x14ac:dyDescent="0.25">
      <c r="B35" s="36">
        <v>45724</v>
      </c>
      <c r="C35" s="34">
        <v>5370.5</v>
      </c>
      <c r="D35" s="38">
        <f t="shared" si="0"/>
        <v>-8.7670727205610977E-3</v>
      </c>
      <c r="F35" s="34">
        <v>24363.3</v>
      </c>
      <c r="G35" s="38">
        <f t="shared" si="1"/>
        <v>-1.0880465099284198E-2</v>
      </c>
    </row>
    <row r="36" spans="2:7" ht="18.95" customHeight="1" x14ac:dyDescent="0.25">
      <c r="B36" s="36" t="s">
        <v>77</v>
      </c>
      <c r="C36" s="34">
        <v>5317</v>
      </c>
      <c r="D36" s="38">
        <f t="shared" si="0"/>
        <v>-9.9618285075877555E-3</v>
      </c>
      <c r="F36" s="34">
        <v>24565.35</v>
      </c>
      <c r="G36" s="38">
        <f t="shared" si="1"/>
        <v>8.2932115107559046E-3</v>
      </c>
    </row>
    <row r="37" spans="2:7" ht="18.95" customHeight="1" x14ac:dyDescent="0.25">
      <c r="B37" s="36" t="s">
        <v>78</v>
      </c>
      <c r="C37" s="34">
        <v>5180</v>
      </c>
      <c r="D37" s="38">
        <f t="shared" si="0"/>
        <v>-2.5766409629490283E-2</v>
      </c>
      <c r="F37" s="34">
        <v>24837</v>
      </c>
      <c r="G37" s="38">
        <f t="shared" si="1"/>
        <v>1.1058258889045103E-2</v>
      </c>
    </row>
    <row r="38" spans="2:7" ht="18.95" customHeight="1" x14ac:dyDescent="0.25">
      <c r="B38" s="36" t="s">
        <v>79</v>
      </c>
      <c r="C38" s="34">
        <v>5043</v>
      </c>
      <c r="D38" s="38">
        <f t="shared" si="0"/>
        <v>-2.6447876447876495E-2</v>
      </c>
      <c r="F38" s="34">
        <v>24968.400000000001</v>
      </c>
      <c r="G38" s="38">
        <f t="shared" si="1"/>
        <v>5.2904940210170004E-3</v>
      </c>
    </row>
    <row r="39" spans="2:7" ht="18.95" customHeight="1" x14ac:dyDescent="0.25">
      <c r="B39" s="36">
        <v>45815</v>
      </c>
      <c r="C39" s="34">
        <v>5375</v>
      </c>
      <c r="D39" s="38">
        <f t="shared" si="0"/>
        <v>6.5833829069998018E-2</v>
      </c>
      <c r="F39" s="34">
        <v>25149.85</v>
      </c>
      <c r="G39" s="38">
        <f t="shared" si="1"/>
        <v>7.267185722753533E-3</v>
      </c>
    </row>
    <row r="40" spans="2:7" ht="18.95" customHeight="1" x14ac:dyDescent="0.25">
      <c r="B40" s="36" t="s">
        <v>80</v>
      </c>
      <c r="C40" s="34">
        <v>5364</v>
      </c>
      <c r="D40" s="38">
        <f t="shared" si="0"/>
        <v>-2.0465116279069218E-3</v>
      </c>
      <c r="F40" s="34">
        <v>25461</v>
      </c>
      <c r="G40" s="38">
        <f t="shared" si="1"/>
        <v>1.2371843172026997E-2</v>
      </c>
    </row>
    <row r="41" spans="2:7" ht="18.95" customHeight="1" x14ac:dyDescent="0.25">
      <c r="B41" s="36" t="s">
        <v>81</v>
      </c>
      <c r="C41" s="34">
        <v>5456</v>
      </c>
      <c r="D41" s="38">
        <f t="shared" si="0"/>
        <v>1.7151379567486913E-2</v>
      </c>
      <c r="F41" s="34">
        <v>25637.8</v>
      </c>
      <c r="G41" s="38">
        <f t="shared" si="1"/>
        <v>6.9439534975059836E-3</v>
      </c>
    </row>
    <row r="42" spans="2:7" ht="18.95" customHeight="1" x14ac:dyDescent="0.25">
      <c r="B42" s="36" t="s">
        <v>82</v>
      </c>
      <c r="C42" s="34">
        <v>6019.5</v>
      </c>
      <c r="D42" s="38">
        <f t="shared" si="0"/>
        <v>0.1032807917888563</v>
      </c>
      <c r="F42" s="34">
        <v>25112.400000000001</v>
      </c>
      <c r="G42" s="38">
        <f t="shared" si="1"/>
        <v>-2.0493178041797622E-2</v>
      </c>
    </row>
    <row r="43" spans="2:7" ht="18.95" customHeight="1" x14ac:dyDescent="0.25">
      <c r="B43" s="36">
        <v>45875</v>
      </c>
      <c r="C43" s="34">
        <v>5897.5</v>
      </c>
      <c r="D43" s="38">
        <f t="shared" si="0"/>
        <v>-2.0267464075089281E-2</v>
      </c>
      <c r="F43" s="34">
        <v>24718.6</v>
      </c>
      <c r="G43" s="38">
        <f t="shared" si="1"/>
        <v>-1.568149599401103E-2</v>
      </c>
    </row>
    <row r="44" spans="2:7" ht="18.95" customHeight="1" x14ac:dyDescent="0.25">
      <c r="B44" s="36">
        <v>45663</v>
      </c>
      <c r="C44" s="34">
        <v>5590</v>
      </c>
      <c r="D44" s="38">
        <f t="shared" si="0"/>
        <v>-5.2140737600678277E-2</v>
      </c>
      <c r="F44" s="34">
        <v>25003.05</v>
      </c>
      <c r="G44" s="38">
        <f t="shared" si="1"/>
        <v>1.1507528743537332E-2</v>
      </c>
    </row>
    <row r="45" spans="2:7" ht="18.95" customHeight="1" x14ac:dyDescent="0.25">
      <c r="B45" s="36" t="s">
        <v>83</v>
      </c>
      <c r="C45" s="34">
        <v>5777</v>
      </c>
      <c r="D45" s="38">
        <f t="shared" si="0"/>
        <v>3.3452593917710161E-2</v>
      </c>
      <c r="F45" s="34">
        <v>24750.7</v>
      </c>
      <c r="G45" s="38">
        <f t="shared" si="1"/>
        <v>-1.0092768682220754E-2</v>
      </c>
    </row>
    <row r="46" spans="2:7" ht="18.95" customHeight="1" x14ac:dyDescent="0.25">
      <c r="B46" s="36" t="s">
        <v>84</v>
      </c>
      <c r="C46" s="34">
        <v>5643.5</v>
      </c>
      <c r="D46" s="38">
        <f t="shared" si="0"/>
        <v>-2.31088800415441E-2</v>
      </c>
      <c r="F46" s="34">
        <v>24853.15</v>
      </c>
      <c r="G46" s="38">
        <f t="shared" si="1"/>
        <v>4.139276868937003E-3</v>
      </c>
    </row>
    <row r="47" spans="2:7" ht="18.95" customHeight="1" x14ac:dyDescent="0.25">
      <c r="B47" s="36">
        <v>45966</v>
      </c>
      <c r="C47" s="34">
        <v>5435.5</v>
      </c>
      <c r="D47" s="38">
        <f t="shared" si="0"/>
        <v>-3.6856560644989766E-2</v>
      </c>
      <c r="F47" s="34">
        <v>25019.8</v>
      </c>
      <c r="G47" s="38">
        <f t="shared" si="1"/>
        <v>6.705387445856914E-3</v>
      </c>
    </row>
    <row r="48" spans="2:7" ht="18.95" customHeight="1" x14ac:dyDescent="0.25">
      <c r="B48" s="36">
        <v>45752</v>
      </c>
      <c r="C48" s="34">
        <v>5583</v>
      </c>
      <c r="D48" s="38">
        <f t="shared" si="0"/>
        <v>2.7136417992824846E-2</v>
      </c>
      <c r="F48" s="34">
        <v>24008</v>
      </c>
      <c r="G48" s="38">
        <f t="shared" si="1"/>
        <v>-4.0439971542538311E-2</v>
      </c>
    </row>
    <row r="49" spans="2:7" ht="18.95" customHeight="1" x14ac:dyDescent="0.25">
      <c r="B49" s="36" t="s">
        <v>85</v>
      </c>
      <c r="C49" s="34">
        <v>5113</v>
      </c>
      <c r="D49" s="38">
        <f t="shared" si="0"/>
        <v>-8.4184130395844492E-2</v>
      </c>
      <c r="F49" s="34">
        <v>24346.7</v>
      </c>
      <c r="G49" s="38">
        <f t="shared" si="1"/>
        <v>1.4107797400866318E-2</v>
      </c>
    </row>
    <row r="50" spans="2:7" ht="18.95" customHeight="1" x14ac:dyDescent="0.25">
      <c r="B50" s="36" t="s">
        <v>86</v>
      </c>
      <c r="C50" s="34">
        <v>5148</v>
      </c>
      <c r="D50" s="38">
        <f t="shared" si="0"/>
        <v>6.8452963035399161E-3</v>
      </c>
      <c r="F50" s="34">
        <v>24039.35</v>
      </c>
      <c r="G50" s="38">
        <f t="shared" si="1"/>
        <v>-1.2623887426222113E-2</v>
      </c>
    </row>
    <row r="51" spans="2:7" ht="18.95" customHeight="1" x14ac:dyDescent="0.25">
      <c r="B51" s="36" t="s">
        <v>87</v>
      </c>
      <c r="C51" s="34">
        <v>5145</v>
      </c>
      <c r="D51" s="38">
        <f t="shared" si="0"/>
        <v>-5.8275058275059077E-4</v>
      </c>
      <c r="F51" s="34">
        <v>23851.65</v>
      </c>
      <c r="G51" s="38">
        <f t="shared" si="1"/>
        <v>-7.8080314151587338E-3</v>
      </c>
    </row>
    <row r="52" spans="2:7" ht="18.95" customHeight="1" x14ac:dyDescent="0.25">
      <c r="B52" s="36">
        <v>45812</v>
      </c>
      <c r="C52" s="34">
        <v>5130.5</v>
      </c>
      <c r="D52" s="38">
        <f t="shared" si="0"/>
        <v>-2.8182701652089692E-3</v>
      </c>
      <c r="F52" s="34">
        <v>22828.55</v>
      </c>
      <c r="G52" s="38">
        <f t="shared" si="1"/>
        <v>-4.2894307102443685E-2</v>
      </c>
    </row>
    <row r="53" spans="2:7" ht="18.95" customHeight="1" x14ac:dyDescent="0.25">
      <c r="B53" s="36" t="s">
        <v>88</v>
      </c>
      <c r="C53" s="34">
        <v>4780.55</v>
      </c>
      <c r="D53" s="38">
        <f t="shared" si="0"/>
        <v>-6.8209726147548944E-2</v>
      </c>
      <c r="F53" s="34">
        <v>22904.45</v>
      </c>
      <c r="G53" s="38">
        <f t="shared" si="1"/>
        <v>3.3247840971064591E-3</v>
      </c>
    </row>
    <row r="54" spans="2:7" ht="18.95" customHeight="1" x14ac:dyDescent="0.25">
      <c r="B54" s="36" t="s">
        <v>89</v>
      </c>
      <c r="C54" s="34">
        <v>5562.85</v>
      </c>
      <c r="D54" s="38">
        <f t="shared" si="0"/>
        <v>0.16364225873591964</v>
      </c>
      <c r="F54" s="34">
        <v>23519.35</v>
      </c>
      <c r="G54" s="38">
        <f t="shared" si="1"/>
        <v>2.6846311524616251E-2</v>
      </c>
    </row>
    <row r="55" spans="2:7" ht="18.95" customHeight="1" x14ac:dyDescent="0.25">
      <c r="B55" s="36" t="s">
        <v>90</v>
      </c>
      <c r="C55" s="34">
        <v>5325.15</v>
      </c>
      <c r="D55" s="38">
        <f t="shared" si="0"/>
        <v>-4.272989564701557E-2</v>
      </c>
      <c r="F55" s="34">
        <v>23350.400000000001</v>
      </c>
      <c r="G55" s="38">
        <f t="shared" si="1"/>
        <v>-7.1834468214468927E-3</v>
      </c>
    </row>
    <row r="56" spans="2:7" ht="18.95" customHeight="1" x14ac:dyDescent="0.25">
      <c r="B56" s="36">
        <v>45903</v>
      </c>
      <c r="C56" s="34">
        <v>5150.05</v>
      </c>
      <c r="D56" s="38">
        <f t="shared" si="0"/>
        <v>-3.2881702862830098E-2</v>
      </c>
      <c r="F56" s="34">
        <v>22397.200000000001</v>
      </c>
      <c r="G56" s="38">
        <f t="shared" si="1"/>
        <v>-4.0821570508428162E-2</v>
      </c>
    </row>
    <row r="57" spans="2:7" ht="18.95" customHeight="1" x14ac:dyDescent="0.25">
      <c r="B57" s="36">
        <v>45691</v>
      </c>
      <c r="C57" s="34">
        <v>5022.3999999999996</v>
      </c>
      <c r="D57" s="38">
        <f t="shared" si="0"/>
        <v>-2.4786167124591141E-2</v>
      </c>
      <c r="F57" s="34">
        <v>22552.5</v>
      </c>
      <c r="G57" s="38">
        <f t="shared" si="1"/>
        <v>6.9339024520922443E-3</v>
      </c>
    </row>
    <row r="58" spans="2:7" ht="18.95" customHeight="1" x14ac:dyDescent="0.25">
      <c r="B58" s="36" t="s">
        <v>91</v>
      </c>
      <c r="C58" s="34">
        <v>4999.8500000000004</v>
      </c>
      <c r="D58" s="38">
        <f t="shared" si="0"/>
        <v>-4.4898853137940176E-3</v>
      </c>
      <c r="F58" s="34">
        <v>22124.7</v>
      </c>
      <c r="G58" s="38">
        <f t="shared" si="1"/>
        <v>-1.8969072164948475E-2</v>
      </c>
    </row>
    <row r="59" spans="2:7" ht="18.95" customHeight="1" x14ac:dyDescent="0.25">
      <c r="B59" s="36" t="s">
        <v>92</v>
      </c>
      <c r="C59" s="34">
        <v>4851.55</v>
      </c>
      <c r="D59" s="38">
        <f t="shared" si="0"/>
        <v>-2.9660889826694792E-2</v>
      </c>
      <c r="F59" s="34">
        <v>22795.9</v>
      </c>
      <c r="G59" s="38">
        <f t="shared" si="1"/>
        <v>3.0337134514818231E-2</v>
      </c>
    </row>
    <row r="60" spans="2:7" ht="18.95" customHeight="1" x14ac:dyDescent="0.25">
      <c r="B60" s="36">
        <v>45902</v>
      </c>
      <c r="C60" s="34">
        <v>5048.2</v>
      </c>
      <c r="D60" s="38">
        <f t="shared" si="0"/>
        <v>4.0533437767311442E-2</v>
      </c>
      <c r="F60" s="34">
        <v>22929.25</v>
      </c>
      <c r="G60" s="38">
        <f t="shared" si="1"/>
        <v>5.8497361367613188E-3</v>
      </c>
    </row>
    <row r="61" spans="2:7" ht="18.95" customHeight="1" x14ac:dyDescent="0.25">
      <c r="B61" s="36">
        <v>45690</v>
      </c>
      <c r="C61" s="34">
        <v>5117.3500000000004</v>
      </c>
      <c r="D61" s="38">
        <f t="shared" si="0"/>
        <v>1.3697951745176518E-2</v>
      </c>
      <c r="F61" s="34">
        <v>23559.95</v>
      </c>
      <c r="G61" s="38">
        <f t="shared" si="1"/>
        <v>2.7506351058146361E-2</v>
      </c>
    </row>
    <row r="62" spans="2:7" ht="18.95" customHeight="1" x14ac:dyDescent="0.25">
      <c r="B62" s="36" t="s">
        <v>93</v>
      </c>
      <c r="C62" s="34">
        <v>5454.4</v>
      </c>
      <c r="D62" s="38">
        <f t="shared" si="0"/>
        <v>6.5864167977566446E-2</v>
      </c>
      <c r="F62" s="34">
        <v>23508.400000000001</v>
      </c>
      <c r="G62" s="38">
        <f t="shared" si="1"/>
        <v>-2.188035203809835E-3</v>
      </c>
    </row>
    <row r="63" spans="2:7" ht="18.95" customHeight="1" x14ac:dyDescent="0.25">
      <c r="B63" s="36" t="s">
        <v>94</v>
      </c>
      <c r="C63" s="34">
        <v>5753.2</v>
      </c>
      <c r="D63" s="38">
        <f t="shared" si="0"/>
        <v>5.4781460838955853E-2</v>
      </c>
      <c r="F63" s="34">
        <v>23092.2</v>
      </c>
      <c r="G63" s="38">
        <f t="shared" si="1"/>
        <v>-1.7704309948784247E-2</v>
      </c>
    </row>
    <row r="64" spans="2:7" ht="18.95" customHeight="1" x14ac:dyDescent="0.25">
      <c r="B64" s="36">
        <v>45992</v>
      </c>
      <c r="C64" s="34">
        <v>5490.45</v>
      </c>
      <c r="D64" s="38">
        <f t="shared" si="0"/>
        <v>-4.5670235694917571E-2</v>
      </c>
      <c r="F64" s="34">
        <v>23203.200000000001</v>
      </c>
      <c r="G64" s="38">
        <f t="shared" si="1"/>
        <v>4.8068178865590117E-3</v>
      </c>
    </row>
    <row r="65" spans="2:7" ht="18.95" customHeight="1" x14ac:dyDescent="0.25">
      <c r="B65" s="36">
        <v>45778</v>
      </c>
      <c r="C65" s="34">
        <v>6216.55</v>
      </c>
      <c r="D65" s="38">
        <f t="shared" si="0"/>
        <v>0.13224781211011849</v>
      </c>
      <c r="F65" s="34">
        <v>23431.5</v>
      </c>
      <c r="G65" s="38">
        <f t="shared" si="1"/>
        <v>9.8391601158460684E-3</v>
      </c>
    </row>
    <row r="66" spans="2:7" ht="18.95" customHeight="1" x14ac:dyDescent="0.25">
      <c r="B66" s="36" t="s">
        <v>95</v>
      </c>
      <c r="C66" s="34">
        <v>6584.1</v>
      </c>
      <c r="D66" s="38">
        <f t="shared" si="0"/>
        <v>5.9124433970610735E-2</v>
      </c>
      <c r="F66" s="34">
        <v>24004.75</v>
      </c>
      <c r="G66" s="38">
        <f t="shared" si="1"/>
        <v>2.4464929688666981E-2</v>
      </c>
    </row>
    <row r="67" spans="2:7" ht="18.95" customHeight="1" x14ac:dyDescent="0.25">
      <c r="B67" s="36" t="s">
        <v>96</v>
      </c>
      <c r="C67" s="34">
        <v>7307.7</v>
      </c>
      <c r="D67" s="38">
        <f t="shared" si="0"/>
        <v>0.10990112543855646</v>
      </c>
      <c r="F67" s="34">
        <v>23813.4</v>
      </c>
      <c r="G67" s="38">
        <f t="shared" si="1"/>
        <v>-7.9713390058216982E-3</v>
      </c>
    </row>
    <row r="68" spans="2:7" ht="18.95" customHeight="1" x14ac:dyDescent="0.25">
      <c r="B68" s="36" t="s">
        <v>97</v>
      </c>
      <c r="C68" s="34">
        <v>7118.3</v>
      </c>
      <c r="D68" s="38">
        <f t="shared" si="0"/>
        <v>-2.5917867454876342E-2</v>
      </c>
      <c r="F68" s="34">
        <v>23587.5</v>
      </c>
      <c r="G68" s="38">
        <f t="shared" si="1"/>
        <v>-9.4862556375822082E-3</v>
      </c>
    </row>
    <row r="69" spans="2:7" ht="18.95" customHeight="1" x14ac:dyDescent="0.25">
      <c r="B69" s="36">
        <v>45516</v>
      </c>
      <c r="C69" s="34">
        <v>6831.55</v>
      </c>
      <c r="D69" s="38">
        <f t="shared" si="0"/>
        <v>-4.0283494654622554E-2</v>
      </c>
      <c r="F69" s="34">
        <v>24768.3</v>
      </c>
      <c r="G69" s="38">
        <f t="shared" si="1"/>
        <v>5.0060413354531041E-2</v>
      </c>
    </row>
    <row r="70" spans="2:7" ht="18.95" customHeight="1" x14ac:dyDescent="0.25">
      <c r="B70" s="36">
        <v>45303</v>
      </c>
      <c r="C70" s="34">
        <v>7000.25</v>
      </c>
      <c r="D70" s="38">
        <f t="shared" si="0"/>
        <v>2.4694249474862984E-2</v>
      </c>
      <c r="F70" s="34">
        <v>24677.8</v>
      </c>
      <c r="G70" s="38">
        <f t="shared" si="1"/>
        <v>-3.653864011660013E-3</v>
      </c>
    </row>
    <row r="71" spans="2:7" ht="18.95" customHeight="1" x14ac:dyDescent="0.25">
      <c r="B71" s="36" t="s">
        <v>98</v>
      </c>
      <c r="C71" s="34">
        <v>6999.95</v>
      </c>
      <c r="D71" s="38">
        <f t="shared" si="0"/>
        <v>-4.2855612299552703E-5</v>
      </c>
      <c r="F71" s="34">
        <v>24131.1</v>
      </c>
      <c r="G71" s="38">
        <f t="shared" si="1"/>
        <v>-2.2153514494809179E-2</v>
      </c>
    </row>
    <row r="72" spans="2:7" ht="18.95" customHeight="1" x14ac:dyDescent="0.25">
      <c r="B72" s="36" t="s">
        <v>99</v>
      </c>
      <c r="C72" s="34">
        <v>6795.4</v>
      </c>
      <c r="D72" s="38">
        <f t="shared" si="0"/>
        <v>-2.9221637297409342E-2</v>
      </c>
      <c r="F72" s="34">
        <v>23907.25</v>
      </c>
      <c r="G72" s="38">
        <f t="shared" si="1"/>
        <v>-9.2764109385812255E-3</v>
      </c>
    </row>
    <row r="73" spans="2:7" ht="18.95" customHeight="1" x14ac:dyDescent="0.25">
      <c r="B73" s="36">
        <v>45576</v>
      </c>
      <c r="C73" s="34">
        <v>6652.8</v>
      </c>
      <c r="D73" s="38">
        <f t="shared" si="0"/>
        <v>-2.0984783824351649E-2</v>
      </c>
      <c r="F73" s="34">
        <v>23532.7</v>
      </c>
      <c r="G73" s="38">
        <f t="shared" si="1"/>
        <v>-1.5666795637306663E-2</v>
      </c>
    </row>
    <row r="74" spans="2:7" ht="18.95" customHeight="1" x14ac:dyDescent="0.25">
      <c r="B74" s="36">
        <v>45362</v>
      </c>
      <c r="C74" s="34">
        <v>6463</v>
      </c>
      <c r="D74" s="38">
        <f t="shared" si="0"/>
        <v>-2.8529341029341015E-2</v>
      </c>
      <c r="F74" s="34">
        <v>24148.2</v>
      </c>
      <c r="G74" s="38">
        <f t="shared" si="1"/>
        <v>2.6155094825498049E-2</v>
      </c>
    </row>
    <row r="75" spans="2:7" ht="18.95" customHeight="1" x14ac:dyDescent="0.25">
      <c r="B75" s="36" t="s">
        <v>100</v>
      </c>
      <c r="C75" s="34">
        <v>6298.95</v>
      </c>
      <c r="D75" s="38">
        <f t="shared" si="0"/>
        <v>-2.5382949094847618E-2</v>
      </c>
      <c r="F75" s="34">
        <v>24304.35</v>
      </c>
      <c r="G75" s="38">
        <f t="shared" si="1"/>
        <v>6.4663204710908584E-3</v>
      </c>
    </row>
    <row r="76" spans="2:7" ht="18.95" customHeight="1" x14ac:dyDescent="0.25">
      <c r="B76" s="36" t="s">
        <v>101</v>
      </c>
      <c r="C76" s="34">
        <v>7149</v>
      </c>
      <c r="D76" s="38">
        <f t="shared" ref="D76:D113" si="2">(C76/C75)-1</f>
        <v>0.13495106327245021</v>
      </c>
      <c r="F76" s="34">
        <v>24180.799999999999</v>
      </c>
      <c r="G76" s="38">
        <f t="shared" ref="G76:G113" si="3">(F76/F75)-1</f>
        <v>-5.0834521392261189E-3</v>
      </c>
    </row>
    <row r="77" spans="2:7" ht="18.95" customHeight="1" x14ac:dyDescent="0.25">
      <c r="B77" s="36" t="s">
        <v>102</v>
      </c>
      <c r="C77" s="34">
        <v>7361.45</v>
      </c>
      <c r="D77" s="38">
        <f t="shared" si="2"/>
        <v>2.9717442999020793E-2</v>
      </c>
      <c r="F77" s="34">
        <v>24854.05</v>
      </c>
      <c r="G77" s="38">
        <f t="shared" si="3"/>
        <v>2.7842337722490562E-2</v>
      </c>
    </row>
    <row r="78" spans="2:7" ht="18.95" customHeight="1" x14ac:dyDescent="0.25">
      <c r="B78" s="36">
        <v>45453</v>
      </c>
      <c r="C78" s="34">
        <v>7768.05</v>
      </c>
      <c r="D78" s="38">
        <f t="shared" si="2"/>
        <v>5.5233683581359605E-2</v>
      </c>
      <c r="F78" s="34">
        <v>24964.25</v>
      </c>
      <c r="G78" s="38">
        <f t="shared" si="3"/>
        <v>4.4338850207512603E-3</v>
      </c>
    </row>
    <row r="79" spans="2:7" ht="18.95" customHeight="1" x14ac:dyDescent="0.25">
      <c r="B79" s="36" t="s">
        <v>103</v>
      </c>
      <c r="C79" s="34">
        <v>8234.9500000000007</v>
      </c>
      <c r="D79" s="38">
        <f t="shared" si="2"/>
        <v>6.0105174400267858E-2</v>
      </c>
      <c r="F79" s="34">
        <v>25014.6</v>
      </c>
      <c r="G79" s="38">
        <f t="shared" si="3"/>
        <v>2.0168841443264363E-3</v>
      </c>
    </row>
    <row r="80" spans="2:7" ht="18.95" customHeight="1" x14ac:dyDescent="0.25">
      <c r="B80" s="36" t="s">
        <v>104</v>
      </c>
      <c r="C80" s="34">
        <v>7353.3</v>
      </c>
      <c r="D80" s="38">
        <f t="shared" si="2"/>
        <v>-0.10706197366104231</v>
      </c>
      <c r="F80" s="34">
        <v>26178.95</v>
      </c>
      <c r="G80" s="38">
        <f t="shared" si="3"/>
        <v>4.6546816659071233E-2</v>
      </c>
    </row>
    <row r="81" spans="2:7" ht="18.95" customHeight="1" x14ac:dyDescent="0.25">
      <c r="B81" s="36" t="s">
        <v>105</v>
      </c>
      <c r="C81" s="34">
        <v>7833.7</v>
      </c>
      <c r="D81" s="38">
        <f t="shared" si="2"/>
        <v>6.5331211836862302E-2</v>
      </c>
      <c r="F81" s="34">
        <v>25790.95</v>
      </c>
      <c r="G81" s="38">
        <f t="shared" si="3"/>
        <v>-1.4821068071866894E-2</v>
      </c>
    </row>
    <row r="82" spans="2:7" ht="18.95" customHeight="1" x14ac:dyDescent="0.25">
      <c r="B82" s="36">
        <v>45513</v>
      </c>
      <c r="C82" s="34">
        <v>7465.15</v>
      </c>
      <c r="D82" s="38">
        <f t="shared" si="2"/>
        <v>-4.7046733982664679E-2</v>
      </c>
      <c r="F82" s="34">
        <v>25356.5</v>
      </c>
      <c r="G82" s="38">
        <f t="shared" si="3"/>
        <v>-1.684505611464493E-2</v>
      </c>
    </row>
    <row r="83" spans="2:7" ht="18.95" customHeight="1" x14ac:dyDescent="0.25">
      <c r="B83" s="36">
        <v>45300</v>
      </c>
      <c r="C83" s="34">
        <v>7233.15</v>
      </c>
      <c r="D83" s="38">
        <f t="shared" si="2"/>
        <v>-3.1077741237617418E-2</v>
      </c>
      <c r="F83" s="34">
        <v>24852.15</v>
      </c>
      <c r="G83" s="38">
        <f t="shared" si="3"/>
        <v>-1.9890363417664036E-2</v>
      </c>
    </row>
    <row r="84" spans="2:7" ht="18.95" customHeight="1" x14ac:dyDescent="0.25">
      <c r="B84" s="36" t="s">
        <v>106</v>
      </c>
      <c r="C84" s="34">
        <v>7103.55</v>
      </c>
      <c r="D84" s="38">
        <f t="shared" si="2"/>
        <v>-1.7917504821550745E-2</v>
      </c>
      <c r="F84" s="34">
        <v>25235.9</v>
      </c>
      <c r="G84" s="38">
        <f t="shared" si="3"/>
        <v>1.544131996628062E-2</v>
      </c>
    </row>
    <row r="85" spans="2:7" ht="18.95" customHeight="1" x14ac:dyDescent="0.25">
      <c r="B85" s="36" t="s">
        <v>107</v>
      </c>
      <c r="C85" s="34">
        <v>7158.75</v>
      </c>
      <c r="D85" s="38">
        <f t="shared" si="2"/>
        <v>7.770762506070783E-3</v>
      </c>
      <c r="F85" s="34">
        <v>24823.15</v>
      </c>
      <c r="G85" s="38">
        <f t="shared" si="3"/>
        <v>-1.6355667917530181E-2</v>
      </c>
    </row>
    <row r="86" spans="2:7" ht="18.95" customHeight="1" x14ac:dyDescent="0.25">
      <c r="B86" s="36">
        <v>45604</v>
      </c>
      <c r="C86" s="34">
        <v>6948.75</v>
      </c>
      <c r="D86" s="38">
        <f t="shared" si="2"/>
        <v>-2.9334730225248795E-2</v>
      </c>
      <c r="F86" s="34">
        <v>24541.15</v>
      </c>
      <c r="G86" s="38">
        <f t="shared" si="3"/>
        <v>-1.1360363209342861E-2</v>
      </c>
    </row>
    <row r="87" spans="2:7" ht="18.95" customHeight="1" x14ac:dyDescent="0.25">
      <c r="B87" s="36">
        <v>45390</v>
      </c>
      <c r="C87" s="34">
        <v>6502.4</v>
      </c>
      <c r="D87" s="38">
        <f t="shared" si="2"/>
        <v>-6.4234574563770463E-2</v>
      </c>
      <c r="F87" s="34">
        <v>24367.5</v>
      </c>
      <c r="G87" s="38">
        <f t="shared" si="3"/>
        <v>-7.0758705276647849E-3</v>
      </c>
    </row>
    <row r="88" spans="2:7" ht="18.95" customHeight="1" x14ac:dyDescent="0.25">
      <c r="B88" s="36" t="s">
        <v>108</v>
      </c>
      <c r="C88" s="34">
        <v>6275.35</v>
      </c>
      <c r="D88" s="38">
        <f t="shared" si="2"/>
        <v>-3.4917876476377896E-2</v>
      </c>
      <c r="F88" s="34">
        <v>24717.7</v>
      </c>
      <c r="G88" s="38">
        <f t="shared" si="3"/>
        <v>1.4371601518415877E-2</v>
      </c>
    </row>
    <row r="89" spans="2:7" ht="18.95" customHeight="1" x14ac:dyDescent="0.25">
      <c r="B89" s="36" t="s">
        <v>109</v>
      </c>
      <c r="C89" s="34">
        <v>5538.25</v>
      </c>
      <c r="D89" s="38">
        <f t="shared" si="2"/>
        <v>-0.11745958392758971</v>
      </c>
      <c r="F89" s="34">
        <v>24834.85</v>
      </c>
      <c r="G89" s="38">
        <f t="shared" si="3"/>
        <v>4.7395186445340354E-3</v>
      </c>
    </row>
    <row r="90" spans="2:7" ht="18.95" customHeight="1" x14ac:dyDescent="0.25">
      <c r="B90" s="36" t="s">
        <v>110</v>
      </c>
      <c r="C90" s="34">
        <v>5393.35</v>
      </c>
      <c r="D90" s="38">
        <f t="shared" si="2"/>
        <v>-2.616349930032047E-2</v>
      </c>
      <c r="F90" s="34">
        <v>24530.9</v>
      </c>
      <c r="G90" s="38">
        <f t="shared" si="3"/>
        <v>-1.2238849842056476E-2</v>
      </c>
    </row>
    <row r="91" spans="2:7" ht="18.95" customHeight="1" x14ac:dyDescent="0.25">
      <c r="B91" s="36">
        <v>45480</v>
      </c>
      <c r="C91" s="34">
        <v>5166.3500000000004</v>
      </c>
      <c r="D91" s="38">
        <f t="shared" si="2"/>
        <v>-4.2088868699416859E-2</v>
      </c>
      <c r="F91" s="34">
        <v>24502.15</v>
      </c>
      <c r="G91" s="38">
        <f t="shared" si="3"/>
        <v>-1.1719912436967128E-3</v>
      </c>
    </row>
    <row r="92" spans="2:7" ht="18.95" customHeight="1" x14ac:dyDescent="0.25">
      <c r="B92" s="36" t="s">
        <v>111</v>
      </c>
      <c r="C92" s="34">
        <v>5651.25</v>
      </c>
      <c r="D92" s="38">
        <f t="shared" si="2"/>
        <v>9.3857365451430752E-2</v>
      </c>
      <c r="F92" s="34">
        <v>24323.85</v>
      </c>
      <c r="G92" s="38">
        <f t="shared" si="3"/>
        <v>-7.2769124342150215E-3</v>
      </c>
    </row>
    <row r="93" spans="2:7" ht="18.95" customHeight="1" x14ac:dyDescent="0.25">
      <c r="B93" s="36" t="s">
        <v>112</v>
      </c>
      <c r="C93" s="34">
        <v>5619.9</v>
      </c>
      <c r="D93" s="38">
        <f t="shared" si="2"/>
        <v>-5.5474452554745701E-3</v>
      </c>
      <c r="F93" s="34">
        <v>24010.6</v>
      </c>
      <c r="G93" s="38">
        <f t="shared" si="3"/>
        <v>-1.2878306682535867E-2</v>
      </c>
    </row>
    <row r="94" spans="2:7" ht="18.95" customHeight="1" x14ac:dyDescent="0.25">
      <c r="B94" s="36" t="s">
        <v>113</v>
      </c>
      <c r="C94" s="34">
        <v>5479.85</v>
      </c>
      <c r="D94" s="38">
        <f t="shared" si="2"/>
        <v>-2.4920372248616429E-2</v>
      </c>
      <c r="F94" s="34">
        <v>23501.1</v>
      </c>
      <c r="G94" s="38">
        <f t="shared" si="3"/>
        <v>-2.1219794590722429E-2</v>
      </c>
    </row>
    <row r="95" spans="2:7" ht="18.95" customHeight="1" x14ac:dyDescent="0.25">
      <c r="B95" s="36">
        <v>45541</v>
      </c>
      <c r="C95" s="34">
        <v>5266.35</v>
      </c>
      <c r="D95" s="38">
        <f t="shared" si="2"/>
        <v>-3.8960920463151361E-2</v>
      </c>
      <c r="F95" s="34">
        <v>23465.599999999999</v>
      </c>
      <c r="G95" s="38">
        <f t="shared" si="3"/>
        <v>-1.5105675904532045E-3</v>
      </c>
    </row>
    <row r="96" spans="2:7" ht="18.95" customHeight="1" x14ac:dyDescent="0.25">
      <c r="B96" s="36">
        <v>45328</v>
      </c>
      <c r="C96" s="34">
        <v>5245.55</v>
      </c>
      <c r="D96" s="38">
        <f t="shared" si="2"/>
        <v>-3.9496045648315103E-3</v>
      </c>
      <c r="F96" s="34">
        <v>23290.15</v>
      </c>
      <c r="G96" s="38">
        <f t="shared" si="3"/>
        <v>-7.4769023591980677E-3</v>
      </c>
    </row>
    <row r="97" spans="2:7" ht="18.95" customHeight="1" x14ac:dyDescent="0.25">
      <c r="B97" s="36" t="s">
        <v>114</v>
      </c>
      <c r="C97" s="34">
        <v>4964.6000000000004</v>
      </c>
      <c r="D97" s="38">
        <f t="shared" si="2"/>
        <v>-5.355968392256294E-2</v>
      </c>
      <c r="F97" s="34">
        <v>22530.7</v>
      </c>
      <c r="G97" s="38">
        <f t="shared" si="3"/>
        <v>-3.2608205614820029E-2</v>
      </c>
    </row>
    <row r="98" spans="2:7" ht="18.95" customHeight="1" x14ac:dyDescent="0.25">
      <c r="B98" s="36" t="s">
        <v>115</v>
      </c>
      <c r="C98" s="34">
        <v>4559.1499999999996</v>
      </c>
      <c r="D98" s="38">
        <f t="shared" si="2"/>
        <v>-8.1668210933408703E-2</v>
      </c>
      <c r="F98" s="34">
        <v>22957.1</v>
      </c>
      <c r="G98" s="38">
        <f t="shared" si="3"/>
        <v>1.8925288606212787E-2</v>
      </c>
    </row>
    <row r="99" spans="2:7" ht="18.95" customHeight="1" x14ac:dyDescent="0.25">
      <c r="B99" s="36">
        <v>45631</v>
      </c>
      <c r="C99" s="34">
        <v>4715.3999999999996</v>
      </c>
      <c r="D99" s="38">
        <f t="shared" si="2"/>
        <v>3.4271739249640776E-2</v>
      </c>
      <c r="F99" s="34">
        <v>22466.1</v>
      </c>
      <c r="G99" s="38">
        <f t="shared" si="3"/>
        <v>-2.1387718832082458E-2</v>
      </c>
    </row>
    <row r="100" spans="2:7" ht="18.95" customHeight="1" x14ac:dyDescent="0.25">
      <c r="B100" s="36">
        <v>45417</v>
      </c>
      <c r="C100" s="34">
        <v>4634.55</v>
      </c>
      <c r="D100" s="38">
        <f t="shared" si="2"/>
        <v>-1.7145947321542065E-2</v>
      </c>
      <c r="F100" s="34">
        <v>22055.200000000001</v>
      </c>
      <c r="G100" s="38">
        <f t="shared" si="3"/>
        <v>-1.8289778822314418E-2</v>
      </c>
    </row>
    <row r="101" spans="2:7" ht="18.95" customHeight="1" x14ac:dyDescent="0.25">
      <c r="B101" s="36" t="s">
        <v>116</v>
      </c>
      <c r="C101" s="34">
        <v>4471.3999999999996</v>
      </c>
      <c r="D101" s="38">
        <f t="shared" si="2"/>
        <v>-3.5202986266196445E-2</v>
      </c>
      <c r="F101" s="34">
        <v>22475.85</v>
      </c>
      <c r="G101" s="38">
        <f t="shared" si="3"/>
        <v>1.9072599659037293E-2</v>
      </c>
    </row>
    <row r="102" spans="2:7" ht="18.95" customHeight="1" x14ac:dyDescent="0.25">
      <c r="B102" s="36" t="s">
        <v>117</v>
      </c>
      <c r="C102" s="34">
        <v>4523.6499999999996</v>
      </c>
      <c r="D102" s="38">
        <f t="shared" si="2"/>
        <v>1.1685378181330197E-2</v>
      </c>
      <c r="F102" s="34">
        <v>22419.95</v>
      </c>
      <c r="G102" s="38">
        <f t="shared" si="3"/>
        <v>-2.4871139467471659E-3</v>
      </c>
    </row>
    <row r="103" spans="2:7" ht="18.95" customHeight="1" x14ac:dyDescent="0.25">
      <c r="B103" s="36" t="s">
        <v>118</v>
      </c>
      <c r="C103" s="34">
        <v>4304.8500000000004</v>
      </c>
      <c r="D103" s="38">
        <f t="shared" si="2"/>
        <v>-4.8368021398649153E-2</v>
      </c>
      <c r="F103" s="34">
        <v>22147</v>
      </c>
      <c r="G103" s="38">
        <f t="shared" si="3"/>
        <v>-1.2174425009868428E-2</v>
      </c>
    </row>
    <row r="104" spans="2:7" ht="18.95" customHeight="1" x14ac:dyDescent="0.25">
      <c r="B104" s="36">
        <v>45477</v>
      </c>
      <c r="C104" s="34">
        <v>4158.95</v>
      </c>
      <c r="D104" s="38">
        <f t="shared" si="2"/>
        <v>-3.3892005528648017E-2</v>
      </c>
      <c r="F104" s="34">
        <v>22519.4</v>
      </c>
      <c r="G104" s="38">
        <f t="shared" si="3"/>
        <v>1.6814918499119536E-2</v>
      </c>
    </row>
    <row r="105" spans="2:7" ht="18.95" customHeight="1" x14ac:dyDescent="0.25">
      <c r="B105" s="36" t="s">
        <v>119</v>
      </c>
      <c r="C105" s="34">
        <v>4053.85</v>
      </c>
      <c r="D105" s="38">
        <f t="shared" si="2"/>
        <v>-2.5270801524423181E-2</v>
      </c>
      <c r="F105" s="34">
        <v>22513.7</v>
      </c>
      <c r="G105" s="38">
        <f t="shared" si="3"/>
        <v>-2.5311509187642134E-4</v>
      </c>
    </row>
    <row r="106" spans="2:7" ht="18.95" customHeight="1" x14ac:dyDescent="0.25">
      <c r="B106" s="36" t="s">
        <v>120</v>
      </c>
      <c r="C106" s="34">
        <v>3932.6</v>
      </c>
      <c r="D106" s="38">
        <f t="shared" si="2"/>
        <v>-2.9909838795219357E-2</v>
      </c>
      <c r="F106" s="34">
        <v>22326.9</v>
      </c>
      <c r="G106" s="38">
        <f t="shared" si="3"/>
        <v>-8.2971701674979803E-3</v>
      </c>
    </row>
    <row r="107" spans="2:7" ht="18.95" customHeight="1" x14ac:dyDescent="0.25">
      <c r="B107" s="36" t="s">
        <v>121</v>
      </c>
      <c r="C107" s="34">
        <v>3948</v>
      </c>
      <c r="D107" s="38">
        <f t="shared" si="2"/>
        <v>3.9159843360627722E-3</v>
      </c>
      <c r="F107" s="34">
        <v>22096.75</v>
      </c>
      <c r="G107" s="38">
        <f t="shared" si="3"/>
        <v>-1.0308193255669229E-2</v>
      </c>
    </row>
    <row r="108" spans="2:7" ht="18.95" customHeight="1" x14ac:dyDescent="0.25">
      <c r="B108" s="36">
        <v>45568</v>
      </c>
      <c r="C108" s="34">
        <v>3948.6</v>
      </c>
      <c r="D108" s="38">
        <f t="shared" si="2"/>
        <v>1.5197568389058169E-4</v>
      </c>
      <c r="F108" s="34">
        <v>22023.35</v>
      </c>
      <c r="G108" s="38">
        <f t="shared" si="3"/>
        <v>-3.3217554617761547E-3</v>
      </c>
    </row>
    <row r="109" spans="2:7" ht="18.95" customHeight="1" x14ac:dyDescent="0.25">
      <c r="B109" s="36">
        <v>45354</v>
      </c>
      <c r="C109" s="34">
        <v>4063.9</v>
      </c>
      <c r="D109" s="38">
        <f t="shared" si="2"/>
        <v>2.9200222863799974E-2</v>
      </c>
      <c r="F109" s="34">
        <v>22493.55</v>
      </c>
      <c r="G109" s="38">
        <f t="shared" si="3"/>
        <v>2.1350067087886337E-2</v>
      </c>
    </row>
    <row r="110" spans="2:7" ht="18.95" customHeight="1" x14ac:dyDescent="0.25">
      <c r="B110" s="36" t="s">
        <v>122</v>
      </c>
      <c r="C110" s="34">
        <v>3952.2</v>
      </c>
      <c r="D110" s="38">
        <f t="shared" si="2"/>
        <v>-2.7485912547060787E-2</v>
      </c>
      <c r="F110" s="34">
        <v>22338.75</v>
      </c>
      <c r="G110" s="38">
        <f t="shared" si="3"/>
        <v>-6.8819728322118134E-3</v>
      </c>
    </row>
    <row r="111" spans="2:7" ht="18.95" customHeight="1" x14ac:dyDescent="0.25">
      <c r="B111" s="36" t="s">
        <v>123</v>
      </c>
      <c r="C111" s="34">
        <v>3901.25</v>
      </c>
      <c r="D111" s="38">
        <f t="shared" si="2"/>
        <v>-1.2891554071150169E-2</v>
      </c>
      <c r="F111" s="34">
        <v>22212.7</v>
      </c>
      <c r="G111" s="38">
        <f t="shared" si="3"/>
        <v>-5.6426612948351496E-3</v>
      </c>
    </row>
    <row r="112" spans="2:7" ht="18.95" customHeight="1" x14ac:dyDescent="0.25">
      <c r="B112" s="36">
        <v>45598</v>
      </c>
      <c r="C112" s="34">
        <v>3885.8</v>
      </c>
      <c r="D112" s="38">
        <f t="shared" si="2"/>
        <v>-3.9602691445048688E-3</v>
      </c>
      <c r="F112" s="34">
        <v>22040.7</v>
      </c>
      <c r="G112" s="38">
        <f t="shared" si="3"/>
        <v>-7.7433180117680855E-3</v>
      </c>
    </row>
    <row r="113" spans="2:7" ht="18.95" customHeight="1" x14ac:dyDescent="0.25">
      <c r="B113" s="36">
        <v>45384</v>
      </c>
      <c r="C113" s="34">
        <v>4024.6</v>
      </c>
      <c r="D113" s="38">
        <f t="shared" si="2"/>
        <v>3.5719800298522841E-2</v>
      </c>
      <c r="F113" s="34">
        <v>21782.5</v>
      </c>
      <c r="G113" s="38">
        <f t="shared" si="3"/>
        <v>-1.1714691457167858E-2</v>
      </c>
    </row>
    <row r="114" spans="2:7" ht="18.95" customHeight="1" x14ac:dyDescent="0.25">
      <c r="C114" s="34"/>
      <c r="D114" s="38"/>
    </row>
  </sheetData>
  <mergeCells count="3">
    <mergeCell ref="B7:D7"/>
    <mergeCell ref="F7:G7"/>
    <mergeCell ref="I7:J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3D04C-765A-4AF7-8AC0-171378CE59E2}">
  <dimension ref="B5:T113"/>
  <sheetViews>
    <sheetView showGridLines="0" topLeftCell="A85" workbookViewId="0">
      <selection activeCell="C9" sqref="C9:C113"/>
    </sheetView>
  </sheetViews>
  <sheetFormatPr defaultRowHeight="18.95" customHeight="1" x14ac:dyDescent="0.25"/>
  <cols>
    <col min="1" max="1" width="1.85546875" customWidth="1"/>
    <col min="2" max="2" width="10.7109375" bestFit="1" customWidth="1"/>
    <col min="3" max="8" width="12.7109375" customWidth="1"/>
    <col min="9" max="9" width="20.140625" customWidth="1"/>
    <col min="10" max="13" width="12.7109375" customWidth="1"/>
    <col min="14" max="14" width="14.5703125" bestFit="1" customWidth="1"/>
    <col min="15" max="15" width="12.7109375" customWidth="1"/>
    <col min="17" max="17" width="13.42578125" bestFit="1" customWidth="1"/>
    <col min="18" max="18" width="11" bestFit="1" customWidth="1"/>
    <col min="19" max="19" width="12.42578125" bestFit="1" customWidth="1"/>
    <col min="20" max="20" width="12.5703125" bestFit="1" customWidth="1"/>
  </cols>
  <sheetData>
    <row r="5" spans="2:13" ht="18.95" customHeight="1" x14ac:dyDescent="0.25">
      <c r="B5" s="31" t="s">
        <v>54</v>
      </c>
    </row>
    <row r="7" spans="2:13" ht="18.95" customHeight="1" x14ac:dyDescent="0.25">
      <c r="B7" s="140" t="s">
        <v>55</v>
      </c>
      <c r="C7" s="140"/>
      <c r="D7" s="140"/>
      <c r="F7" s="140" t="s">
        <v>59</v>
      </c>
      <c r="G7" s="140"/>
      <c r="I7" s="140" t="s">
        <v>60</v>
      </c>
      <c r="J7" s="140"/>
    </row>
    <row r="9" spans="2:13" ht="18.95" customHeight="1" x14ac:dyDescent="0.25">
      <c r="B9" s="33" t="s">
        <v>56</v>
      </c>
      <c r="C9" s="33" t="s">
        <v>57</v>
      </c>
      <c r="D9" s="33" t="s">
        <v>58</v>
      </c>
      <c r="F9" s="33" t="s">
        <v>57</v>
      </c>
      <c r="G9" s="33" t="s">
        <v>58</v>
      </c>
      <c r="I9" s="31" t="s">
        <v>153</v>
      </c>
      <c r="J9" s="20">
        <f>M10</f>
        <v>0.96797979847110083</v>
      </c>
    </row>
    <row r="10" spans="2:13" ht="18.95" customHeight="1" x14ac:dyDescent="0.25">
      <c r="B10" s="36" t="s">
        <v>61</v>
      </c>
      <c r="C10" s="35">
        <v>3689.5</v>
      </c>
      <c r="F10" s="34">
        <v>25320.65</v>
      </c>
      <c r="I10" t="s">
        <v>154</v>
      </c>
      <c r="J10" s="22">
        <v>0.75</v>
      </c>
      <c r="L10" t="s">
        <v>124</v>
      </c>
      <c r="M10" s="20">
        <f>SLOPE(D11:D113,G11:G113)</f>
        <v>0.96797979847110083</v>
      </c>
    </row>
    <row r="11" spans="2:13" ht="18.95" customHeight="1" x14ac:dyDescent="0.25">
      <c r="B11" s="36" t="s">
        <v>62</v>
      </c>
      <c r="C11" s="35">
        <v>3665.6</v>
      </c>
      <c r="D11" s="38">
        <f>(C11/C10)-1</f>
        <v>-6.4778425260875183E-3</v>
      </c>
      <c r="F11" s="34">
        <v>25048.65</v>
      </c>
      <c r="G11" s="38">
        <f>(F11/F10)-1</f>
        <v>-1.0742220282654702E-2</v>
      </c>
      <c r="L11" t="s">
        <v>125</v>
      </c>
      <c r="M11" s="20">
        <f>_xlfn.COVARIANCE.S(D10:D113,G10:G113)/_xlfn.VAR.S(G10:G113)</f>
        <v>0.96797979847110105</v>
      </c>
    </row>
    <row r="12" spans="2:13" ht="18.95" customHeight="1" x14ac:dyDescent="0.25">
      <c r="B12" s="36">
        <v>46327</v>
      </c>
      <c r="C12" s="35">
        <v>3775.7</v>
      </c>
      <c r="D12" s="38">
        <f t="shared" ref="D12:D75" si="0">(C12/C11)-1</f>
        <v>3.0036010475774644E-2</v>
      </c>
      <c r="F12" s="34">
        <v>25694.35</v>
      </c>
      <c r="G12" s="38">
        <f t="shared" ref="G12:G75" si="1">(F12/F11)-1</f>
        <v>2.5777836330500792E-2</v>
      </c>
      <c r="I12" t="s">
        <v>156</v>
      </c>
      <c r="J12">
        <v>1</v>
      </c>
    </row>
    <row r="13" spans="2:13" ht="18.95" customHeight="1" x14ac:dyDescent="0.25">
      <c r="B13" s="36">
        <v>46113</v>
      </c>
      <c r="C13" s="35">
        <v>3801.3</v>
      </c>
      <c r="D13" s="38">
        <f t="shared" si="0"/>
        <v>6.7801996980694224E-3</v>
      </c>
      <c r="F13" s="34">
        <v>25683.3</v>
      </c>
      <c r="G13" s="38">
        <f t="shared" si="1"/>
        <v>-4.3005563479903142E-4</v>
      </c>
      <c r="I13" t="s">
        <v>155</v>
      </c>
      <c r="J13" s="22">
        <v>0.25</v>
      </c>
      <c r="L13" t="s">
        <v>127</v>
      </c>
      <c r="M13" s="20">
        <f>M32</f>
        <v>0.96797979847110061</v>
      </c>
    </row>
    <row r="14" spans="2:13" ht="18.95" customHeight="1" x14ac:dyDescent="0.25">
      <c r="B14" s="36" t="s">
        <v>63</v>
      </c>
      <c r="C14" s="35">
        <v>3719.8</v>
      </c>
      <c r="D14" s="38">
        <f t="shared" si="0"/>
        <v>-2.1440033672690872E-2</v>
      </c>
      <c r="F14" s="34">
        <v>26328.55</v>
      </c>
      <c r="G14" s="38">
        <f t="shared" si="1"/>
        <v>2.5123329167201947E-2</v>
      </c>
    </row>
    <row r="15" spans="2:13" ht="18.95" customHeight="1" x14ac:dyDescent="0.25">
      <c r="B15" s="36" t="s">
        <v>64</v>
      </c>
      <c r="C15" s="35">
        <v>3787.4</v>
      </c>
      <c r="D15" s="38">
        <f t="shared" si="0"/>
        <v>1.817302005484156E-2</v>
      </c>
      <c r="F15" s="34">
        <v>26042.3</v>
      </c>
      <c r="G15" s="38">
        <f t="shared" si="1"/>
        <v>-1.0872228056615363E-2</v>
      </c>
      <c r="I15" s="43" t="s">
        <v>157</v>
      </c>
      <c r="J15" s="8">
        <f>(J9*J10)+(J12*J13)</f>
        <v>0.97598484885332559</v>
      </c>
      <c r="L15" t="s">
        <v>128</v>
      </c>
    </row>
    <row r="16" spans="2:13" ht="18.95" customHeight="1" thickBot="1" x14ac:dyDescent="0.3">
      <c r="B16" s="36" t="s">
        <v>65</v>
      </c>
      <c r="C16" s="35">
        <v>3819.5</v>
      </c>
      <c r="D16" s="38">
        <f t="shared" si="0"/>
        <v>8.4754712995722681E-3</v>
      </c>
      <c r="F16" s="34">
        <v>25966.400000000001</v>
      </c>
      <c r="G16" s="38">
        <f t="shared" si="1"/>
        <v>-2.9144891196245526E-3</v>
      </c>
    </row>
    <row r="17" spans="2:20" ht="18.95" customHeight="1" x14ac:dyDescent="0.25">
      <c r="B17" s="36">
        <v>45850</v>
      </c>
      <c r="C17" s="35">
        <v>3843</v>
      </c>
      <c r="D17" s="38">
        <f t="shared" si="0"/>
        <v>6.1526377798140075E-3</v>
      </c>
      <c r="F17" s="34">
        <v>26046.95</v>
      </c>
      <c r="G17" s="38">
        <f t="shared" si="1"/>
        <v>3.10208577238269E-3</v>
      </c>
      <c r="L17" s="41" t="s">
        <v>129</v>
      </c>
      <c r="M17" s="41"/>
    </row>
    <row r="18" spans="2:20" ht="18.95" customHeight="1" x14ac:dyDescent="0.25">
      <c r="B18" s="36" t="s">
        <v>66</v>
      </c>
      <c r="C18" s="35">
        <v>3952.1</v>
      </c>
      <c r="D18" s="38">
        <f t="shared" si="0"/>
        <v>2.838927920895129E-2</v>
      </c>
      <c r="F18" s="34">
        <v>26186.45</v>
      </c>
      <c r="G18" s="38">
        <f t="shared" si="1"/>
        <v>5.3557134328587885E-3</v>
      </c>
      <c r="L18" t="s">
        <v>130</v>
      </c>
      <c r="M18">
        <v>0.40026591456522953</v>
      </c>
    </row>
    <row r="19" spans="2:20" ht="18.95" customHeight="1" x14ac:dyDescent="0.25">
      <c r="B19" s="36" t="s">
        <v>67</v>
      </c>
      <c r="C19" s="35">
        <v>3996.5</v>
      </c>
      <c r="D19" s="38">
        <f t="shared" si="0"/>
        <v>1.1234533539131064E-2</v>
      </c>
      <c r="F19" s="34">
        <v>26202.95</v>
      </c>
      <c r="G19" s="38">
        <f t="shared" si="1"/>
        <v>6.3009686307236024E-4</v>
      </c>
      <c r="L19" t="s">
        <v>131</v>
      </c>
      <c r="M19">
        <v>0.16021280236273963</v>
      </c>
    </row>
    <row r="20" spans="2:20" ht="18.95" customHeight="1" x14ac:dyDescent="0.25">
      <c r="B20" s="36" t="s">
        <v>68</v>
      </c>
      <c r="C20" s="35">
        <v>4038</v>
      </c>
      <c r="D20" s="38">
        <f t="shared" si="0"/>
        <v>1.0384086075315935E-2</v>
      </c>
      <c r="F20" s="34">
        <v>26068.15</v>
      </c>
      <c r="G20" s="38">
        <f t="shared" si="1"/>
        <v>-5.144458925426254E-3</v>
      </c>
      <c r="L20" t="s">
        <v>132</v>
      </c>
      <c r="M20">
        <v>0.15189807763365784</v>
      </c>
    </row>
    <row r="21" spans="2:20" ht="18.95" customHeight="1" x14ac:dyDescent="0.25">
      <c r="B21" s="36">
        <v>45911</v>
      </c>
      <c r="C21" s="35">
        <v>4053.7</v>
      </c>
      <c r="D21" s="38">
        <f t="shared" si="0"/>
        <v>3.8880633977216306E-3</v>
      </c>
      <c r="F21" s="34">
        <v>25910.05</v>
      </c>
      <c r="G21" s="38">
        <f t="shared" si="1"/>
        <v>-6.0648722674989664E-3</v>
      </c>
      <c r="L21" t="s">
        <v>133</v>
      </c>
      <c r="M21">
        <v>3.7509619795218503E-2</v>
      </c>
    </row>
    <row r="22" spans="2:20" ht="18.95" customHeight="1" thickBot="1" x14ac:dyDescent="0.3">
      <c r="B22" s="36">
        <v>45699</v>
      </c>
      <c r="C22" s="35">
        <v>4011</v>
      </c>
      <c r="D22" s="38">
        <f t="shared" si="0"/>
        <v>-1.0533586599896338E-2</v>
      </c>
      <c r="F22" s="34">
        <v>25492.3</v>
      </c>
      <c r="G22" s="38">
        <f t="shared" si="1"/>
        <v>-1.6123087373432266E-2</v>
      </c>
      <c r="L22" s="39" t="s">
        <v>134</v>
      </c>
      <c r="M22" s="39">
        <v>103</v>
      </c>
    </row>
    <row r="23" spans="2:20" ht="18.95" customHeight="1" x14ac:dyDescent="0.25">
      <c r="B23" s="36" t="s">
        <v>69</v>
      </c>
      <c r="C23" s="35">
        <v>4153.5</v>
      </c>
      <c r="D23" s="38">
        <f t="shared" si="0"/>
        <v>3.5527299925205647E-2</v>
      </c>
      <c r="F23" s="34">
        <v>25722.1</v>
      </c>
      <c r="G23" s="38">
        <f t="shared" si="1"/>
        <v>9.0144867273647122E-3</v>
      </c>
    </row>
    <row r="24" spans="2:20" ht="18.95" customHeight="1" thickBot="1" x14ac:dyDescent="0.3">
      <c r="B24" s="36" t="s">
        <v>70</v>
      </c>
      <c r="C24" s="35">
        <v>4213.8999999999996</v>
      </c>
      <c r="D24" s="38">
        <f t="shared" si="0"/>
        <v>1.4541952570121586E-2</v>
      </c>
      <c r="F24" s="34">
        <v>25795.15</v>
      </c>
      <c r="G24" s="38">
        <f t="shared" si="1"/>
        <v>2.839970297915162E-3</v>
      </c>
      <c r="L24" t="s">
        <v>135</v>
      </c>
    </row>
    <row r="25" spans="2:20" ht="18.95" customHeight="1" x14ac:dyDescent="0.25">
      <c r="B25" s="36">
        <v>46001</v>
      </c>
      <c r="C25" s="35">
        <v>4302.5</v>
      </c>
      <c r="D25" s="38">
        <f t="shared" si="0"/>
        <v>2.1025653195377192E-2</v>
      </c>
      <c r="F25" s="34">
        <v>25709.85</v>
      </c>
      <c r="G25" s="38">
        <f t="shared" si="1"/>
        <v>-3.3068231818773608E-3</v>
      </c>
      <c r="L25" s="40"/>
      <c r="M25" s="40" t="s">
        <v>140</v>
      </c>
      <c r="N25" s="40" t="s">
        <v>141</v>
      </c>
      <c r="O25" s="40" t="s">
        <v>142</v>
      </c>
      <c r="P25" s="40" t="s">
        <v>143</v>
      </c>
      <c r="Q25" s="40" t="s">
        <v>144</v>
      </c>
    </row>
    <row r="26" spans="2:20" ht="18.95" customHeight="1" x14ac:dyDescent="0.25">
      <c r="B26" s="36">
        <v>45787</v>
      </c>
      <c r="C26" s="35">
        <v>4320.3999999999996</v>
      </c>
      <c r="D26" s="38">
        <f t="shared" si="0"/>
        <v>4.1603718768157272E-3</v>
      </c>
      <c r="F26" s="34">
        <v>25285.35</v>
      </c>
      <c r="G26" s="38">
        <f t="shared" si="1"/>
        <v>-1.6511181512144146E-2</v>
      </c>
      <c r="L26" t="s">
        <v>136</v>
      </c>
      <c r="M26">
        <v>1</v>
      </c>
      <c r="N26">
        <v>2.7110321335907961E-2</v>
      </c>
      <c r="O26">
        <v>2.7110321335907961E-2</v>
      </c>
      <c r="P26">
        <v>19.268563612500049</v>
      </c>
      <c r="Q26">
        <v>2.7992940371421264E-5</v>
      </c>
    </row>
    <row r="27" spans="2:20" ht="18.95" customHeight="1" x14ac:dyDescent="0.25">
      <c r="B27" s="36" t="s">
        <v>71</v>
      </c>
      <c r="C27" s="35">
        <v>4418.3999999999996</v>
      </c>
      <c r="D27" s="38">
        <f t="shared" si="0"/>
        <v>2.2683084899546291E-2</v>
      </c>
      <c r="F27" s="34">
        <v>24894.25</v>
      </c>
      <c r="G27" s="38">
        <f t="shared" si="1"/>
        <v>-1.5467454474626607E-2</v>
      </c>
      <c r="L27" t="s">
        <v>137</v>
      </c>
      <c r="M27">
        <v>101</v>
      </c>
      <c r="N27">
        <v>0.14210412929536664</v>
      </c>
      <c r="O27">
        <v>1.406971577181848E-3</v>
      </c>
    </row>
    <row r="28" spans="2:20" ht="18.95" customHeight="1" thickBot="1" x14ac:dyDescent="0.3">
      <c r="B28" s="36" t="s">
        <v>72</v>
      </c>
      <c r="C28" s="35">
        <v>4517.8</v>
      </c>
      <c r="D28" s="38">
        <f t="shared" si="0"/>
        <v>2.2496831432192721E-2</v>
      </c>
      <c r="F28" s="34">
        <v>24654.7</v>
      </c>
      <c r="G28" s="38">
        <f t="shared" si="1"/>
        <v>-9.6227040380810758E-3</v>
      </c>
      <c r="L28" s="39" t="s">
        <v>138</v>
      </c>
      <c r="M28" s="39">
        <v>102</v>
      </c>
      <c r="N28" s="39">
        <v>0.1692144506312746</v>
      </c>
      <c r="O28" s="39"/>
      <c r="P28" s="39"/>
      <c r="Q28" s="39"/>
    </row>
    <row r="29" spans="2:20" ht="18.95" customHeight="1" thickBot="1" x14ac:dyDescent="0.3">
      <c r="B29" s="36" t="s">
        <v>73</v>
      </c>
      <c r="C29" s="35">
        <v>4775.3</v>
      </c>
      <c r="D29" s="38">
        <f t="shared" si="0"/>
        <v>5.6996768338571924E-2</v>
      </c>
      <c r="F29" s="34">
        <v>25327.05</v>
      </c>
      <c r="G29" s="38">
        <f t="shared" si="1"/>
        <v>2.7270662388915623E-2</v>
      </c>
    </row>
    <row r="30" spans="2:20" ht="18.95" customHeight="1" x14ac:dyDescent="0.25">
      <c r="B30" s="36">
        <v>45847</v>
      </c>
      <c r="C30" s="35">
        <v>4616.6000000000004</v>
      </c>
      <c r="D30" s="38">
        <f t="shared" si="0"/>
        <v>-3.3233514124766939E-2</v>
      </c>
      <c r="F30" s="34">
        <v>25114</v>
      </c>
      <c r="G30" s="38">
        <f t="shared" si="1"/>
        <v>-8.4119548072120187E-3</v>
      </c>
      <c r="L30" s="40"/>
      <c r="M30" s="40" t="s">
        <v>145</v>
      </c>
      <c r="N30" s="40" t="s">
        <v>133</v>
      </c>
      <c r="O30" s="40" t="s">
        <v>146</v>
      </c>
      <c r="P30" s="40" t="s">
        <v>147</v>
      </c>
      <c r="Q30" s="40" t="s">
        <v>148</v>
      </c>
      <c r="R30" s="40" t="s">
        <v>149</v>
      </c>
      <c r="S30" s="40" t="s">
        <v>150</v>
      </c>
      <c r="T30" s="40" t="s">
        <v>151</v>
      </c>
    </row>
    <row r="31" spans="2:20" ht="18.95" customHeight="1" x14ac:dyDescent="0.25">
      <c r="B31" s="36" t="s">
        <v>74</v>
      </c>
      <c r="C31" s="35">
        <v>4793.3</v>
      </c>
      <c r="D31" s="38">
        <f t="shared" si="0"/>
        <v>3.8274920937486412E-2</v>
      </c>
      <c r="F31" s="34">
        <v>24741</v>
      </c>
      <c r="G31" s="38">
        <f t="shared" si="1"/>
        <v>-1.4852273632236956E-2</v>
      </c>
      <c r="L31" t="s">
        <v>139</v>
      </c>
      <c r="M31">
        <v>2.1740691373927598E-3</v>
      </c>
      <c r="N31">
        <v>3.7073800558219119E-3</v>
      </c>
      <c r="O31">
        <v>0.58641658115916495</v>
      </c>
      <c r="P31">
        <v>0.55890395607520982</v>
      </c>
      <c r="Q31">
        <v>-5.1803756190804476E-3</v>
      </c>
      <c r="R31">
        <v>9.5285138938659662E-3</v>
      </c>
      <c r="S31">
        <v>-5.1803756190804476E-3</v>
      </c>
      <c r="T31">
        <v>9.5285138938659662E-3</v>
      </c>
    </row>
    <row r="32" spans="2:20" ht="18.95" customHeight="1" thickBot="1" x14ac:dyDescent="0.3">
      <c r="B32" s="36" t="s">
        <v>75</v>
      </c>
      <c r="C32" s="35">
        <v>4755.6000000000004</v>
      </c>
      <c r="D32" s="38">
        <f t="shared" si="0"/>
        <v>-7.8651450983664439E-3</v>
      </c>
      <c r="F32" s="34">
        <v>24426.85</v>
      </c>
      <c r="G32" s="38">
        <f t="shared" si="1"/>
        <v>-1.2697546582595698E-2</v>
      </c>
      <c r="L32" s="39" t="s">
        <v>152</v>
      </c>
      <c r="M32" s="39">
        <v>0.96797979847110061</v>
      </c>
      <c r="N32" s="39">
        <v>0.22051677033390421</v>
      </c>
      <c r="O32" s="39">
        <v>4.3895972039015243</v>
      </c>
      <c r="P32" s="39">
        <v>2.7992940371420638E-5</v>
      </c>
      <c r="Q32" s="39">
        <v>0.53053384448809404</v>
      </c>
      <c r="R32" s="39">
        <v>1.4054257524541072</v>
      </c>
      <c r="S32" s="39">
        <v>0.53053384448809404</v>
      </c>
      <c r="T32" s="39">
        <v>1.4054257524541072</v>
      </c>
    </row>
    <row r="33" spans="2:7" ht="18.95" customHeight="1" x14ac:dyDescent="0.25">
      <c r="B33" s="36" t="s">
        <v>76</v>
      </c>
      <c r="C33" s="35">
        <v>4698.8</v>
      </c>
      <c r="D33" s="38">
        <f t="shared" si="0"/>
        <v>-1.194381360921859E-2</v>
      </c>
      <c r="F33" s="34">
        <v>24870.1</v>
      </c>
      <c r="G33" s="38">
        <f t="shared" si="1"/>
        <v>1.8146015552557904E-2</v>
      </c>
    </row>
    <row r="34" spans="2:7" ht="18.95" customHeight="1" x14ac:dyDescent="0.25">
      <c r="B34" s="36">
        <v>45938</v>
      </c>
      <c r="C34" s="35">
        <v>4358.2</v>
      </c>
      <c r="D34" s="38">
        <f t="shared" si="0"/>
        <v>-7.2486592321443832E-2</v>
      </c>
      <c r="F34" s="34">
        <v>24631.3</v>
      </c>
      <c r="G34" s="38">
        <f t="shared" si="1"/>
        <v>-9.6018914278591661E-3</v>
      </c>
    </row>
    <row r="35" spans="2:7" ht="18.95" customHeight="1" x14ac:dyDescent="0.25">
      <c r="B35" s="36">
        <v>45724</v>
      </c>
      <c r="C35" s="35">
        <v>4170.1000000000004</v>
      </c>
      <c r="D35" s="38">
        <f t="shared" si="0"/>
        <v>-4.316002019182219E-2</v>
      </c>
      <c r="F35" s="34">
        <v>24363.3</v>
      </c>
      <c r="G35" s="38">
        <f t="shared" si="1"/>
        <v>-1.0880465099284198E-2</v>
      </c>
    </row>
    <row r="36" spans="2:7" ht="18.95" customHeight="1" x14ac:dyDescent="0.25">
      <c r="B36" s="36" t="s">
        <v>77</v>
      </c>
      <c r="C36" s="35">
        <v>4196</v>
      </c>
      <c r="D36" s="38">
        <f t="shared" si="0"/>
        <v>6.2108822330397828E-3</v>
      </c>
      <c r="F36" s="34">
        <v>24565.35</v>
      </c>
      <c r="G36" s="38">
        <f t="shared" si="1"/>
        <v>8.2932115107559046E-3</v>
      </c>
    </row>
    <row r="37" spans="2:7" ht="18.95" customHeight="1" x14ac:dyDescent="0.25">
      <c r="B37" s="36" t="s">
        <v>78</v>
      </c>
      <c r="C37" s="35">
        <v>3997</v>
      </c>
      <c r="D37" s="38">
        <f t="shared" si="0"/>
        <v>-4.7426120114394621E-2</v>
      </c>
      <c r="F37" s="34">
        <v>24837</v>
      </c>
      <c r="G37" s="38">
        <f t="shared" si="1"/>
        <v>1.1058258889045103E-2</v>
      </c>
    </row>
    <row r="38" spans="2:7" ht="18.95" customHeight="1" x14ac:dyDescent="0.25">
      <c r="B38" s="36" t="s">
        <v>79</v>
      </c>
      <c r="C38" s="35">
        <v>4048.6</v>
      </c>
      <c r="D38" s="38">
        <f t="shared" si="0"/>
        <v>1.2909682261696309E-2</v>
      </c>
      <c r="F38" s="34">
        <v>24968.400000000001</v>
      </c>
      <c r="G38" s="38">
        <f t="shared" si="1"/>
        <v>5.2904940210170004E-3</v>
      </c>
    </row>
    <row r="39" spans="2:7" ht="18.95" customHeight="1" x14ac:dyDescent="0.25">
      <c r="B39" s="36">
        <v>45815</v>
      </c>
      <c r="C39" s="35">
        <v>4064.2</v>
      </c>
      <c r="D39" s="38">
        <f t="shared" si="0"/>
        <v>3.8531838166280252E-3</v>
      </c>
      <c r="F39" s="34">
        <v>25149.85</v>
      </c>
      <c r="G39" s="38">
        <f t="shared" si="1"/>
        <v>7.267185722753533E-3</v>
      </c>
    </row>
    <row r="40" spans="2:7" ht="18.95" customHeight="1" x14ac:dyDescent="0.25">
      <c r="B40" s="36" t="s">
        <v>80</v>
      </c>
      <c r="C40" s="35">
        <v>4261.1000000000004</v>
      </c>
      <c r="D40" s="38">
        <f t="shared" si="0"/>
        <v>4.8447418926234054E-2</v>
      </c>
      <c r="F40" s="34">
        <v>25461</v>
      </c>
      <c r="G40" s="38">
        <f t="shared" si="1"/>
        <v>1.2371843172026997E-2</v>
      </c>
    </row>
    <row r="41" spans="2:7" ht="18.95" customHeight="1" x14ac:dyDescent="0.25">
      <c r="B41" s="36" t="s">
        <v>81</v>
      </c>
      <c r="C41" s="35">
        <v>4313.5</v>
      </c>
      <c r="D41" s="38">
        <f t="shared" si="0"/>
        <v>1.2297294125929836E-2</v>
      </c>
      <c r="F41" s="34">
        <v>25637.8</v>
      </c>
      <c r="G41" s="38">
        <f t="shared" si="1"/>
        <v>6.9439534975059836E-3</v>
      </c>
    </row>
    <row r="42" spans="2:7" ht="18.95" customHeight="1" x14ac:dyDescent="0.25">
      <c r="B42" s="36" t="s">
        <v>82</v>
      </c>
      <c r="C42" s="35">
        <v>4300.3</v>
      </c>
      <c r="D42" s="38">
        <f t="shared" si="0"/>
        <v>-3.0601599629070941E-3</v>
      </c>
      <c r="F42" s="34">
        <v>25112.400000000001</v>
      </c>
      <c r="G42" s="38">
        <f t="shared" si="1"/>
        <v>-2.0493178041797622E-2</v>
      </c>
    </row>
    <row r="43" spans="2:7" ht="18.95" customHeight="1" x14ac:dyDescent="0.25">
      <c r="B43" s="36">
        <v>45875</v>
      </c>
      <c r="C43" s="35">
        <v>4051.9</v>
      </c>
      <c r="D43" s="38">
        <f t="shared" si="0"/>
        <v>-5.7763411854986901E-2</v>
      </c>
      <c r="F43" s="34">
        <v>24718.6</v>
      </c>
      <c r="G43" s="38">
        <f t="shared" si="1"/>
        <v>-1.568149599401103E-2</v>
      </c>
    </row>
    <row r="44" spans="2:7" ht="18.95" customHeight="1" x14ac:dyDescent="0.25">
      <c r="B44" s="36">
        <v>45663</v>
      </c>
      <c r="C44" s="35">
        <v>4201.6000000000004</v>
      </c>
      <c r="D44" s="38">
        <f t="shared" si="0"/>
        <v>3.6945630444976452E-2</v>
      </c>
      <c r="F44" s="34">
        <v>25003.05</v>
      </c>
      <c r="G44" s="38">
        <f t="shared" si="1"/>
        <v>1.1507528743537332E-2</v>
      </c>
    </row>
    <row r="45" spans="2:7" ht="18.95" customHeight="1" x14ac:dyDescent="0.25">
      <c r="B45" s="36" t="s">
        <v>83</v>
      </c>
      <c r="C45" s="35">
        <v>4002.1</v>
      </c>
      <c r="D45" s="38">
        <f t="shared" si="0"/>
        <v>-4.7481911652703879E-2</v>
      </c>
      <c r="F45" s="34">
        <v>24750.7</v>
      </c>
      <c r="G45" s="38">
        <f t="shared" si="1"/>
        <v>-1.0092768682220754E-2</v>
      </c>
    </row>
    <row r="46" spans="2:7" ht="18.95" customHeight="1" x14ac:dyDescent="0.25">
      <c r="B46" s="36" t="s">
        <v>84</v>
      </c>
      <c r="C46" s="35">
        <v>4140.8</v>
      </c>
      <c r="D46" s="38">
        <f t="shared" si="0"/>
        <v>3.465680517728198E-2</v>
      </c>
      <c r="F46" s="34">
        <v>24853.15</v>
      </c>
      <c r="G46" s="38">
        <f t="shared" si="1"/>
        <v>4.139276868937003E-3</v>
      </c>
    </row>
    <row r="47" spans="2:7" ht="18.95" customHeight="1" x14ac:dyDescent="0.25">
      <c r="B47" s="36">
        <v>45966</v>
      </c>
      <c r="C47" s="35">
        <v>4189.7</v>
      </c>
      <c r="D47" s="38">
        <f t="shared" si="0"/>
        <v>1.1809312210200762E-2</v>
      </c>
      <c r="F47" s="34">
        <v>25019.8</v>
      </c>
      <c r="G47" s="38">
        <f t="shared" si="1"/>
        <v>6.705387445856914E-3</v>
      </c>
    </row>
    <row r="48" spans="2:7" ht="18.95" customHeight="1" x14ac:dyDescent="0.25">
      <c r="B48" s="36">
        <v>45752</v>
      </c>
      <c r="C48" s="35">
        <v>3972.4</v>
      </c>
      <c r="D48" s="38">
        <f t="shared" si="0"/>
        <v>-5.1865288684153965E-2</v>
      </c>
      <c r="F48" s="34">
        <v>24008</v>
      </c>
      <c r="G48" s="38">
        <f t="shared" si="1"/>
        <v>-4.0439971542538311E-2</v>
      </c>
    </row>
    <row r="49" spans="2:7" ht="18.95" customHeight="1" x14ac:dyDescent="0.25">
      <c r="B49" s="36" t="s">
        <v>85</v>
      </c>
      <c r="C49" s="35">
        <v>4059.2</v>
      </c>
      <c r="D49" s="38">
        <f t="shared" si="0"/>
        <v>2.1850770315174683E-2</v>
      </c>
      <c r="F49" s="34">
        <v>24346.7</v>
      </c>
      <c r="G49" s="38">
        <f t="shared" si="1"/>
        <v>1.4107797400866318E-2</v>
      </c>
    </row>
    <row r="50" spans="2:7" ht="18.95" customHeight="1" x14ac:dyDescent="0.25">
      <c r="B50" s="36" t="s">
        <v>86</v>
      </c>
      <c r="C50" s="35">
        <v>4375.2</v>
      </c>
      <c r="D50" s="38">
        <f t="shared" si="0"/>
        <v>7.7847851793456879E-2</v>
      </c>
      <c r="F50" s="34">
        <v>24039.35</v>
      </c>
      <c r="G50" s="38">
        <f t="shared" si="1"/>
        <v>-1.2623887426222113E-2</v>
      </c>
    </row>
    <row r="51" spans="2:7" ht="18.95" customHeight="1" x14ac:dyDescent="0.25">
      <c r="B51" s="36" t="s">
        <v>87</v>
      </c>
      <c r="C51" s="35">
        <v>4357.1000000000004</v>
      </c>
      <c r="D51" s="38">
        <f t="shared" si="0"/>
        <v>-4.1369537392574873E-3</v>
      </c>
      <c r="F51" s="34">
        <v>23851.65</v>
      </c>
      <c r="G51" s="38">
        <f t="shared" si="1"/>
        <v>-7.8080314151587338E-3</v>
      </c>
    </row>
    <row r="52" spans="2:7" ht="18.95" customHeight="1" x14ac:dyDescent="0.25">
      <c r="B52" s="36">
        <v>45812</v>
      </c>
      <c r="C52" s="35">
        <v>4131.5</v>
      </c>
      <c r="D52" s="38">
        <f t="shared" si="0"/>
        <v>-5.1777558467788309E-2</v>
      </c>
      <c r="F52" s="34">
        <v>22828.55</v>
      </c>
      <c r="G52" s="38">
        <f t="shared" si="1"/>
        <v>-4.2894307102443685E-2</v>
      </c>
    </row>
    <row r="53" spans="2:7" ht="18.95" customHeight="1" x14ac:dyDescent="0.25">
      <c r="B53" s="36" t="s">
        <v>88</v>
      </c>
      <c r="C53" s="35">
        <v>4039.9</v>
      </c>
      <c r="D53" s="38">
        <f t="shared" si="0"/>
        <v>-2.2171124288999144E-2</v>
      </c>
      <c r="F53" s="34">
        <v>22904.45</v>
      </c>
      <c r="G53" s="38">
        <f t="shared" si="1"/>
        <v>3.3247840971064591E-3</v>
      </c>
    </row>
    <row r="54" spans="2:7" ht="18.95" customHeight="1" x14ac:dyDescent="0.25">
      <c r="B54" s="36" t="s">
        <v>89</v>
      </c>
      <c r="C54" s="35">
        <v>4083.2</v>
      </c>
      <c r="D54" s="38">
        <f t="shared" si="0"/>
        <v>1.0718087081363237E-2</v>
      </c>
      <c r="F54" s="34">
        <v>23519.35</v>
      </c>
      <c r="G54" s="38">
        <f t="shared" si="1"/>
        <v>2.6846311524616251E-2</v>
      </c>
    </row>
    <row r="55" spans="2:7" ht="18.95" customHeight="1" x14ac:dyDescent="0.25">
      <c r="B55" s="36" t="s">
        <v>90</v>
      </c>
      <c r="C55" s="35">
        <v>3892.2</v>
      </c>
      <c r="D55" s="38">
        <f t="shared" si="0"/>
        <v>-4.6777037617554806E-2</v>
      </c>
      <c r="F55" s="34">
        <v>23350.400000000001</v>
      </c>
      <c r="G55" s="38">
        <f t="shared" si="1"/>
        <v>-7.1834468214468927E-3</v>
      </c>
    </row>
    <row r="56" spans="2:7" ht="18.95" customHeight="1" x14ac:dyDescent="0.25">
      <c r="B56" s="36">
        <v>45903</v>
      </c>
      <c r="C56" s="35">
        <v>3797.1</v>
      </c>
      <c r="D56" s="38">
        <f t="shared" si="0"/>
        <v>-2.4433482349313973E-2</v>
      </c>
      <c r="F56" s="34">
        <v>22397.200000000001</v>
      </c>
      <c r="G56" s="38">
        <f t="shared" si="1"/>
        <v>-4.0821570508428162E-2</v>
      </c>
    </row>
    <row r="57" spans="2:7" ht="18.95" customHeight="1" x14ac:dyDescent="0.25">
      <c r="B57" s="36">
        <v>45691</v>
      </c>
      <c r="C57" s="35">
        <v>3593.6</v>
      </c>
      <c r="D57" s="38">
        <f t="shared" si="0"/>
        <v>-5.3593531905928193E-2</v>
      </c>
      <c r="F57" s="34">
        <v>22552.5</v>
      </c>
      <c r="G57" s="38">
        <f t="shared" si="1"/>
        <v>6.9339024520922443E-3</v>
      </c>
    </row>
    <row r="58" spans="2:7" ht="18.95" customHeight="1" x14ac:dyDescent="0.25">
      <c r="B58" s="36" t="s">
        <v>91</v>
      </c>
      <c r="C58" s="35">
        <v>3403.95</v>
      </c>
      <c r="D58" s="38">
        <f t="shared" si="0"/>
        <v>-5.2774376669634915E-2</v>
      </c>
      <c r="F58" s="34">
        <v>22124.7</v>
      </c>
      <c r="G58" s="38">
        <f t="shared" si="1"/>
        <v>-1.8969072164948475E-2</v>
      </c>
    </row>
    <row r="59" spans="2:7" ht="18.95" customHeight="1" x14ac:dyDescent="0.25">
      <c r="B59" s="36" t="s">
        <v>92</v>
      </c>
      <c r="C59" s="35">
        <v>3596.7</v>
      </c>
      <c r="D59" s="38">
        <f t="shared" si="0"/>
        <v>5.6625391089763388E-2</v>
      </c>
      <c r="F59" s="34">
        <v>22795.9</v>
      </c>
      <c r="G59" s="38">
        <f t="shared" si="1"/>
        <v>3.0337134514818231E-2</v>
      </c>
    </row>
    <row r="60" spans="2:7" ht="18.95" customHeight="1" x14ac:dyDescent="0.25">
      <c r="B60" s="36">
        <v>45902</v>
      </c>
      <c r="C60" s="35">
        <v>3682.65</v>
      </c>
      <c r="D60" s="38">
        <f t="shared" si="0"/>
        <v>2.3896905496705312E-2</v>
      </c>
      <c r="F60" s="34">
        <v>22929.25</v>
      </c>
      <c r="G60" s="38">
        <f t="shared" si="1"/>
        <v>5.8497361367613188E-3</v>
      </c>
    </row>
    <row r="61" spans="2:7" ht="18.95" customHeight="1" x14ac:dyDescent="0.25">
      <c r="B61" s="36">
        <v>45690</v>
      </c>
      <c r="C61" s="35">
        <v>3743.5</v>
      </c>
      <c r="D61" s="38">
        <f t="shared" si="0"/>
        <v>1.6523427423187131E-2</v>
      </c>
      <c r="F61" s="34">
        <v>23559.95</v>
      </c>
      <c r="G61" s="38">
        <f t="shared" si="1"/>
        <v>2.7506351058146361E-2</v>
      </c>
    </row>
    <row r="62" spans="2:7" ht="18.95" customHeight="1" x14ac:dyDescent="0.25">
      <c r="B62" s="36" t="s">
        <v>93</v>
      </c>
      <c r="C62" s="34">
        <v>3664.65</v>
      </c>
      <c r="D62" s="38">
        <f t="shared" si="0"/>
        <v>-2.1063176172031461E-2</v>
      </c>
      <c r="F62" s="34">
        <v>23508.400000000001</v>
      </c>
      <c r="G62" s="38">
        <f t="shared" si="1"/>
        <v>-2.188035203809835E-3</v>
      </c>
    </row>
    <row r="63" spans="2:7" ht="18.95" customHeight="1" x14ac:dyDescent="0.25">
      <c r="B63" s="36" t="s">
        <v>94</v>
      </c>
      <c r="C63" s="34">
        <v>3579.95</v>
      </c>
      <c r="D63" s="38">
        <f t="shared" si="0"/>
        <v>-2.311271199159548E-2</v>
      </c>
      <c r="F63" s="34">
        <v>23092.2</v>
      </c>
      <c r="G63" s="38">
        <f t="shared" si="1"/>
        <v>-1.7704309948784247E-2</v>
      </c>
    </row>
    <row r="64" spans="2:7" ht="18.95" customHeight="1" x14ac:dyDescent="0.25">
      <c r="B64" s="36">
        <v>45992</v>
      </c>
      <c r="C64" s="34">
        <v>3620.65</v>
      </c>
      <c r="D64" s="38">
        <f t="shared" si="0"/>
        <v>1.1368873866953511E-2</v>
      </c>
      <c r="F64" s="34">
        <v>23203.200000000001</v>
      </c>
      <c r="G64" s="38">
        <f t="shared" si="1"/>
        <v>4.8068178865590117E-3</v>
      </c>
    </row>
    <row r="65" spans="2:7" ht="18.95" customHeight="1" x14ac:dyDescent="0.25">
      <c r="B65" s="36">
        <v>45778</v>
      </c>
      <c r="C65" s="34">
        <v>3686.25</v>
      </c>
      <c r="D65" s="38">
        <f t="shared" si="0"/>
        <v>1.8118293676549824E-2</v>
      </c>
      <c r="F65" s="34">
        <v>23431.5</v>
      </c>
      <c r="G65" s="38">
        <f t="shared" si="1"/>
        <v>9.8391601158460684E-3</v>
      </c>
    </row>
    <row r="66" spans="2:7" ht="18.95" customHeight="1" x14ac:dyDescent="0.25">
      <c r="B66" s="36" t="s">
        <v>95</v>
      </c>
      <c r="C66" s="34">
        <v>4025.2</v>
      </c>
      <c r="D66" s="38">
        <f t="shared" si="0"/>
        <v>9.1949813496100319E-2</v>
      </c>
      <c r="F66" s="34">
        <v>24004.75</v>
      </c>
      <c r="G66" s="38">
        <f t="shared" si="1"/>
        <v>2.4464929688666981E-2</v>
      </c>
    </row>
    <row r="67" spans="2:7" ht="18.95" customHeight="1" x14ac:dyDescent="0.25">
      <c r="B67" s="36" t="s">
        <v>96</v>
      </c>
      <c r="C67" s="34">
        <v>3568.35</v>
      </c>
      <c r="D67" s="38">
        <f t="shared" si="0"/>
        <v>-0.11349746596442412</v>
      </c>
      <c r="F67" s="34">
        <v>23813.4</v>
      </c>
      <c r="G67" s="38">
        <f t="shared" si="1"/>
        <v>-7.9713390058216982E-3</v>
      </c>
    </row>
    <row r="68" spans="2:7" ht="18.95" customHeight="1" x14ac:dyDescent="0.25">
      <c r="B68" s="36" t="s">
        <v>97</v>
      </c>
      <c r="C68" s="34">
        <v>3408.3</v>
      </c>
      <c r="D68" s="38">
        <f t="shared" si="0"/>
        <v>-4.4852662995502057E-2</v>
      </c>
      <c r="F68" s="34">
        <v>23587.5</v>
      </c>
      <c r="G68" s="38">
        <f t="shared" si="1"/>
        <v>-9.4862556375822082E-3</v>
      </c>
    </row>
    <row r="69" spans="2:7" ht="18.95" customHeight="1" x14ac:dyDescent="0.25">
      <c r="B69" s="36">
        <v>45516</v>
      </c>
      <c r="C69" s="34">
        <v>3652.3</v>
      </c>
      <c r="D69" s="38">
        <f t="shared" si="0"/>
        <v>7.1589942199923762E-2</v>
      </c>
      <c r="F69" s="34">
        <v>24768.3</v>
      </c>
      <c r="G69" s="38">
        <f t="shared" si="1"/>
        <v>5.0060413354531041E-2</v>
      </c>
    </row>
    <row r="70" spans="2:7" ht="18.95" customHeight="1" x14ac:dyDescent="0.25">
      <c r="B70" s="36">
        <v>45303</v>
      </c>
      <c r="C70" s="34">
        <v>3805.55</v>
      </c>
      <c r="D70" s="38">
        <f t="shared" si="0"/>
        <v>4.195986090956394E-2</v>
      </c>
      <c r="F70" s="34">
        <v>24677.8</v>
      </c>
      <c r="G70" s="38">
        <f t="shared" si="1"/>
        <v>-3.653864011660013E-3</v>
      </c>
    </row>
    <row r="71" spans="2:7" ht="18.95" customHeight="1" x14ac:dyDescent="0.25">
      <c r="B71" s="36" t="s">
        <v>98</v>
      </c>
      <c r="C71" s="34">
        <v>3709.6</v>
      </c>
      <c r="D71" s="38">
        <f t="shared" si="0"/>
        <v>-2.5213175493686957E-2</v>
      </c>
      <c r="F71" s="34">
        <v>24131.1</v>
      </c>
      <c r="G71" s="38">
        <f t="shared" si="1"/>
        <v>-2.2153514494809179E-2</v>
      </c>
    </row>
    <row r="72" spans="2:7" ht="18.95" customHeight="1" x14ac:dyDescent="0.25">
      <c r="B72" s="36" t="s">
        <v>99</v>
      </c>
      <c r="C72" s="34">
        <v>3613.65</v>
      </c>
      <c r="D72" s="38">
        <f t="shared" si="0"/>
        <v>-2.5865322406728453E-2</v>
      </c>
      <c r="F72" s="34">
        <v>23907.25</v>
      </c>
      <c r="G72" s="38">
        <f t="shared" si="1"/>
        <v>-9.2764109385812255E-3</v>
      </c>
    </row>
    <row r="73" spans="2:7" ht="18.95" customHeight="1" x14ac:dyDescent="0.25">
      <c r="B73" s="36">
        <v>45576</v>
      </c>
      <c r="C73" s="34">
        <v>3823.85</v>
      </c>
      <c r="D73" s="38">
        <f t="shared" si="0"/>
        <v>5.8168333955972429E-2</v>
      </c>
      <c r="F73" s="34">
        <v>23532.7</v>
      </c>
      <c r="G73" s="38">
        <f t="shared" si="1"/>
        <v>-1.5666795637306663E-2</v>
      </c>
    </row>
    <row r="74" spans="2:7" ht="18.95" customHeight="1" x14ac:dyDescent="0.25">
      <c r="B74" s="36">
        <v>45362</v>
      </c>
      <c r="C74" s="34">
        <v>3874.5</v>
      </c>
      <c r="D74" s="38">
        <f t="shared" si="0"/>
        <v>1.3245812466493145E-2</v>
      </c>
      <c r="F74" s="34">
        <v>24148.2</v>
      </c>
      <c r="G74" s="38">
        <f t="shared" si="1"/>
        <v>2.6155094825498049E-2</v>
      </c>
    </row>
    <row r="75" spans="2:7" ht="18.95" customHeight="1" x14ac:dyDescent="0.25">
      <c r="B75" s="36" t="s">
        <v>100</v>
      </c>
      <c r="C75" s="34">
        <v>4001.6</v>
      </c>
      <c r="D75" s="38">
        <f t="shared" si="0"/>
        <v>3.2804232804232836E-2</v>
      </c>
      <c r="F75" s="34">
        <v>24304.35</v>
      </c>
      <c r="G75" s="38">
        <f t="shared" si="1"/>
        <v>6.4663204710908584E-3</v>
      </c>
    </row>
    <row r="76" spans="2:7" ht="18.95" customHeight="1" x14ac:dyDescent="0.25">
      <c r="B76" s="36" t="s">
        <v>101</v>
      </c>
      <c r="C76" s="34">
        <v>4052.2</v>
      </c>
      <c r="D76" s="38">
        <f t="shared" ref="D76:D113" si="2">(C76/C75)-1</f>
        <v>1.2644942023190664E-2</v>
      </c>
      <c r="F76" s="34">
        <v>24180.799999999999</v>
      </c>
      <c r="G76" s="38">
        <f t="shared" ref="G76:G113" si="3">(F76/F75)-1</f>
        <v>-5.0834521392261189E-3</v>
      </c>
    </row>
    <row r="77" spans="2:7" ht="18.95" customHeight="1" x14ac:dyDescent="0.25">
      <c r="B77" s="36" t="s">
        <v>102</v>
      </c>
      <c r="C77" s="34">
        <v>3986.7</v>
      </c>
      <c r="D77" s="38">
        <f t="shared" si="2"/>
        <v>-1.6164059029662892E-2</v>
      </c>
      <c r="F77" s="34">
        <v>24854.05</v>
      </c>
      <c r="G77" s="38">
        <f t="shared" si="3"/>
        <v>2.7842337722490562E-2</v>
      </c>
    </row>
    <row r="78" spans="2:7" ht="18.95" customHeight="1" x14ac:dyDescent="0.25">
      <c r="B78" s="36">
        <v>45453</v>
      </c>
      <c r="C78" s="34">
        <v>4572.7</v>
      </c>
      <c r="D78" s="38">
        <f t="shared" si="2"/>
        <v>0.14698873755236153</v>
      </c>
      <c r="F78" s="34">
        <v>24964.25</v>
      </c>
      <c r="G78" s="38">
        <f t="shared" si="3"/>
        <v>4.4338850207512603E-3</v>
      </c>
    </row>
    <row r="79" spans="2:7" ht="18.95" customHeight="1" x14ac:dyDescent="0.25">
      <c r="B79" s="36" t="s">
        <v>103</v>
      </c>
      <c r="C79" s="34">
        <v>4737.55</v>
      </c>
      <c r="D79" s="38">
        <f t="shared" si="2"/>
        <v>3.6050910840422556E-2</v>
      </c>
      <c r="F79" s="34">
        <v>25014.6</v>
      </c>
      <c r="G79" s="38">
        <f t="shared" si="3"/>
        <v>2.0168841443264363E-3</v>
      </c>
    </row>
    <row r="80" spans="2:7" ht="18.95" customHeight="1" x14ac:dyDescent="0.25">
      <c r="B80" s="36" t="s">
        <v>104</v>
      </c>
      <c r="C80" s="34">
        <v>5102.3</v>
      </c>
      <c r="D80" s="38">
        <f t="shared" si="2"/>
        <v>7.699127185992749E-2</v>
      </c>
      <c r="F80" s="34">
        <v>26178.95</v>
      </c>
      <c r="G80" s="38">
        <f t="shared" si="3"/>
        <v>4.6546816659071233E-2</v>
      </c>
    </row>
    <row r="81" spans="2:7" ht="18.95" customHeight="1" x14ac:dyDescent="0.25">
      <c r="B81" s="36" t="s">
        <v>105</v>
      </c>
      <c r="C81" s="34">
        <v>5320.55</v>
      </c>
      <c r="D81" s="38">
        <f t="shared" si="2"/>
        <v>4.2774827038786434E-2</v>
      </c>
      <c r="F81" s="34">
        <v>25790.95</v>
      </c>
      <c r="G81" s="38">
        <f t="shared" si="3"/>
        <v>-1.4821068071866894E-2</v>
      </c>
    </row>
    <row r="82" spans="2:7" ht="18.95" customHeight="1" x14ac:dyDescent="0.25">
      <c r="B82" s="36">
        <v>45513</v>
      </c>
      <c r="C82" s="34">
        <v>5187.05</v>
      </c>
      <c r="D82" s="38">
        <f t="shared" si="2"/>
        <v>-2.5091390927629686E-2</v>
      </c>
      <c r="F82" s="34">
        <v>25356.5</v>
      </c>
      <c r="G82" s="38">
        <f t="shared" si="3"/>
        <v>-1.684505611464493E-2</v>
      </c>
    </row>
    <row r="83" spans="2:7" ht="18.95" customHeight="1" x14ac:dyDescent="0.25">
      <c r="B83" s="36">
        <v>45300</v>
      </c>
      <c r="C83" s="34">
        <v>5303.45</v>
      </c>
      <c r="D83" s="38">
        <f t="shared" si="2"/>
        <v>2.244050086272531E-2</v>
      </c>
      <c r="F83" s="34">
        <v>24852.15</v>
      </c>
      <c r="G83" s="38">
        <f t="shared" si="3"/>
        <v>-1.9890363417664036E-2</v>
      </c>
    </row>
    <row r="84" spans="2:7" ht="18.95" customHeight="1" x14ac:dyDescent="0.25">
      <c r="B84" s="36" t="s">
        <v>106</v>
      </c>
      <c r="C84" s="34">
        <v>4927.45</v>
      </c>
      <c r="D84" s="38">
        <f t="shared" si="2"/>
        <v>-7.0897246132234693E-2</v>
      </c>
      <c r="F84" s="34">
        <v>25235.9</v>
      </c>
      <c r="G84" s="38">
        <f t="shared" si="3"/>
        <v>1.544131996628062E-2</v>
      </c>
    </row>
    <row r="85" spans="2:7" ht="18.95" customHeight="1" x14ac:dyDescent="0.25">
      <c r="B85" s="36" t="s">
        <v>107</v>
      </c>
      <c r="C85" s="34">
        <v>4901.5</v>
      </c>
      <c r="D85" s="38">
        <f t="shared" si="2"/>
        <v>-5.2664156916862881E-3</v>
      </c>
      <c r="F85" s="34">
        <v>24823.15</v>
      </c>
      <c r="G85" s="38">
        <f t="shared" si="3"/>
        <v>-1.6355667917530181E-2</v>
      </c>
    </row>
    <row r="86" spans="2:7" ht="18.95" customHeight="1" x14ac:dyDescent="0.25">
      <c r="B86" s="36">
        <v>45604</v>
      </c>
      <c r="C86" s="34">
        <v>5021.3</v>
      </c>
      <c r="D86" s="38">
        <f t="shared" si="2"/>
        <v>2.4441497500765186E-2</v>
      </c>
      <c r="F86" s="34">
        <v>24541.15</v>
      </c>
      <c r="G86" s="38">
        <f t="shared" si="3"/>
        <v>-1.1360363209342861E-2</v>
      </c>
    </row>
    <row r="87" spans="2:7" ht="18.95" customHeight="1" x14ac:dyDescent="0.25">
      <c r="B87" s="36">
        <v>45390</v>
      </c>
      <c r="C87" s="34">
        <v>4989.95</v>
      </c>
      <c r="D87" s="38">
        <f t="shared" si="2"/>
        <v>-6.2434031027822634E-3</v>
      </c>
      <c r="F87" s="34">
        <v>24367.5</v>
      </c>
      <c r="G87" s="38">
        <f t="shared" si="3"/>
        <v>-7.0758705276647849E-3</v>
      </c>
    </row>
    <row r="88" spans="2:7" ht="18.95" customHeight="1" x14ac:dyDescent="0.25">
      <c r="B88" s="36" t="s">
        <v>108</v>
      </c>
      <c r="C88" s="34">
        <v>4909.7</v>
      </c>
      <c r="D88" s="38">
        <f t="shared" si="2"/>
        <v>-1.6082325474203185E-2</v>
      </c>
      <c r="F88" s="34">
        <v>24717.7</v>
      </c>
      <c r="G88" s="38">
        <f t="shared" si="3"/>
        <v>1.4371601518415877E-2</v>
      </c>
    </row>
    <row r="89" spans="2:7" ht="18.95" customHeight="1" x14ac:dyDescent="0.25">
      <c r="B89" s="36" t="s">
        <v>109</v>
      </c>
      <c r="C89" s="34">
        <v>5071.6000000000004</v>
      </c>
      <c r="D89" s="38">
        <f t="shared" si="2"/>
        <v>3.2975538220257894E-2</v>
      </c>
      <c r="F89" s="34">
        <v>24834.85</v>
      </c>
      <c r="G89" s="38">
        <f t="shared" si="3"/>
        <v>4.7395186445340354E-3</v>
      </c>
    </row>
    <row r="90" spans="2:7" ht="18.95" customHeight="1" x14ac:dyDescent="0.25">
      <c r="B90" s="36" t="s">
        <v>110</v>
      </c>
      <c r="C90" s="34">
        <v>5010.7</v>
      </c>
      <c r="D90" s="38">
        <f t="shared" si="2"/>
        <v>-1.2008044798485829E-2</v>
      </c>
      <c r="F90" s="34">
        <v>24530.9</v>
      </c>
      <c r="G90" s="38">
        <f t="shared" si="3"/>
        <v>-1.2238849842056476E-2</v>
      </c>
    </row>
    <row r="91" spans="2:7" ht="18.95" customHeight="1" x14ac:dyDescent="0.25">
      <c r="B91" s="36">
        <v>45480</v>
      </c>
      <c r="C91" s="34">
        <v>4943.6499999999996</v>
      </c>
      <c r="D91" s="38">
        <f t="shared" si="2"/>
        <v>-1.3381363881294073E-2</v>
      </c>
      <c r="F91" s="34">
        <v>24502.15</v>
      </c>
      <c r="G91" s="38">
        <f t="shared" si="3"/>
        <v>-1.1719912436967128E-3</v>
      </c>
    </row>
    <row r="92" spans="2:7" ht="18.95" customHeight="1" x14ac:dyDescent="0.25">
      <c r="B92" s="36" t="s">
        <v>111</v>
      </c>
      <c r="C92" s="34">
        <v>4853.1000000000004</v>
      </c>
      <c r="D92" s="38">
        <f t="shared" si="2"/>
        <v>-1.8316426122399254E-2</v>
      </c>
      <c r="F92" s="34">
        <v>24323.85</v>
      </c>
      <c r="G92" s="38">
        <f t="shared" si="3"/>
        <v>-7.2769124342150215E-3</v>
      </c>
    </row>
    <row r="93" spans="2:7" ht="18.95" customHeight="1" x14ac:dyDescent="0.25">
      <c r="B93" s="36" t="s">
        <v>112</v>
      </c>
      <c r="C93" s="34">
        <v>4716.75</v>
      </c>
      <c r="D93" s="38">
        <f t="shared" si="2"/>
        <v>-2.8095444149100701E-2</v>
      </c>
      <c r="F93" s="34">
        <v>24010.6</v>
      </c>
      <c r="G93" s="38">
        <f t="shared" si="3"/>
        <v>-1.2878306682535867E-2</v>
      </c>
    </row>
    <row r="94" spans="2:7" ht="18.95" customHeight="1" x14ac:dyDescent="0.25">
      <c r="B94" s="36" t="s">
        <v>113</v>
      </c>
      <c r="C94" s="34">
        <v>4804.8500000000004</v>
      </c>
      <c r="D94" s="38">
        <f t="shared" si="2"/>
        <v>1.8678115227646286E-2</v>
      </c>
      <c r="F94" s="34">
        <v>23501.1</v>
      </c>
      <c r="G94" s="38">
        <f t="shared" si="3"/>
        <v>-2.1219794590722429E-2</v>
      </c>
    </row>
    <row r="95" spans="2:7" ht="18.95" customHeight="1" x14ac:dyDescent="0.25">
      <c r="B95" s="36">
        <v>45541</v>
      </c>
      <c r="C95" s="34">
        <v>4739.95</v>
      </c>
      <c r="D95" s="38">
        <f t="shared" si="2"/>
        <v>-1.3507185448036974E-2</v>
      </c>
      <c r="F95" s="34">
        <v>23465.599999999999</v>
      </c>
      <c r="G95" s="38">
        <f t="shared" si="3"/>
        <v>-1.5105675904532045E-3</v>
      </c>
    </row>
    <row r="96" spans="2:7" ht="18.95" customHeight="1" x14ac:dyDescent="0.25">
      <c r="B96" s="36">
        <v>45328</v>
      </c>
      <c r="C96" s="34">
        <v>4747.25</v>
      </c>
      <c r="D96" s="38">
        <f t="shared" si="2"/>
        <v>1.5401006339730294E-3</v>
      </c>
      <c r="F96" s="34">
        <v>23290.15</v>
      </c>
      <c r="G96" s="38">
        <f t="shared" si="3"/>
        <v>-7.4769023591980677E-3</v>
      </c>
    </row>
    <row r="97" spans="2:7" ht="18.95" customHeight="1" x14ac:dyDescent="0.25">
      <c r="B97" s="36" t="s">
        <v>114</v>
      </c>
      <c r="C97" s="34">
        <v>4302.1499999999996</v>
      </c>
      <c r="D97" s="38">
        <f t="shared" si="2"/>
        <v>-9.3759544999736821E-2</v>
      </c>
      <c r="F97" s="34">
        <v>22530.7</v>
      </c>
      <c r="G97" s="38">
        <f t="shared" si="3"/>
        <v>-3.2608205614820029E-2</v>
      </c>
    </row>
    <row r="98" spans="2:7" ht="18.95" customHeight="1" x14ac:dyDescent="0.25">
      <c r="B98" s="36" t="s">
        <v>115</v>
      </c>
      <c r="C98" s="34">
        <v>4684.5</v>
      </c>
      <c r="D98" s="38">
        <f t="shared" si="2"/>
        <v>8.8874167567379203E-2</v>
      </c>
      <c r="F98" s="34">
        <v>22957.1</v>
      </c>
      <c r="G98" s="38">
        <f t="shared" si="3"/>
        <v>1.8925288606212787E-2</v>
      </c>
    </row>
    <row r="99" spans="2:7" ht="18.95" customHeight="1" x14ac:dyDescent="0.25">
      <c r="B99" s="36">
        <v>45631</v>
      </c>
      <c r="C99" s="34">
        <v>4682.8999999999996</v>
      </c>
      <c r="D99" s="38">
        <f t="shared" si="2"/>
        <v>-3.4155192656637468E-4</v>
      </c>
      <c r="F99" s="34">
        <v>22466.1</v>
      </c>
      <c r="G99" s="38">
        <f t="shared" si="3"/>
        <v>-2.1387718832082458E-2</v>
      </c>
    </row>
    <row r="100" spans="2:7" ht="18.95" customHeight="1" x14ac:dyDescent="0.25">
      <c r="B100" s="36">
        <v>45417</v>
      </c>
      <c r="C100" s="34">
        <v>4796.8</v>
      </c>
      <c r="D100" s="38">
        <f t="shared" si="2"/>
        <v>2.4322535181191318E-2</v>
      </c>
      <c r="F100" s="34">
        <v>22055.200000000001</v>
      </c>
      <c r="G100" s="38">
        <f t="shared" si="3"/>
        <v>-1.8289778822314418E-2</v>
      </c>
    </row>
    <row r="101" spans="2:7" ht="18.95" customHeight="1" x14ac:dyDescent="0.25">
      <c r="B101" s="36" t="s">
        <v>116</v>
      </c>
      <c r="C101" s="34">
        <v>4612.3500000000004</v>
      </c>
      <c r="D101" s="38">
        <f t="shared" si="2"/>
        <v>-3.8452718478985903E-2</v>
      </c>
      <c r="F101" s="34">
        <v>22475.85</v>
      </c>
      <c r="G101" s="38">
        <f t="shared" si="3"/>
        <v>1.9072599659037293E-2</v>
      </c>
    </row>
    <row r="102" spans="2:7" ht="18.95" customHeight="1" x14ac:dyDescent="0.25">
      <c r="B102" s="36" t="s">
        <v>117</v>
      </c>
      <c r="C102" s="34">
        <v>4553.1499999999996</v>
      </c>
      <c r="D102" s="38">
        <f t="shared" si="2"/>
        <v>-1.2835105748696618E-2</v>
      </c>
      <c r="F102" s="34">
        <v>22419.95</v>
      </c>
      <c r="G102" s="38">
        <f t="shared" si="3"/>
        <v>-2.4871139467471659E-3</v>
      </c>
    </row>
    <row r="103" spans="2:7" ht="18.95" customHeight="1" x14ac:dyDescent="0.25">
      <c r="B103" s="36" t="s">
        <v>118</v>
      </c>
      <c r="C103" s="34">
        <v>4696</v>
      </c>
      <c r="D103" s="38">
        <f t="shared" si="2"/>
        <v>3.1373884014363806E-2</v>
      </c>
      <c r="F103" s="34">
        <v>22147</v>
      </c>
      <c r="G103" s="38">
        <f t="shared" si="3"/>
        <v>-1.2174425009868428E-2</v>
      </c>
    </row>
    <row r="104" spans="2:7" ht="18.95" customHeight="1" x14ac:dyDescent="0.25">
      <c r="B104" s="36">
        <v>45477</v>
      </c>
      <c r="C104" s="34">
        <v>4765.05</v>
      </c>
      <c r="D104" s="38">
        <f t="shared" si="2"/>
        <v>1.4704003407155053E-2</v>
      </c>
      <c r="F104" s="34">
        <v>22519.4</v>
      </c>
      <c r="G104" s="38">
        <f t="shared" si="3"/>
        <v>1.6814918499119536E-2</v>
      </c>
    </row>
    <row r="105" spans="2:7" ht="18.95" customHeight="1" x14ac:dyDescent="0.25">
      <c r="B105" s="36" t="s">
        <v>119</v>
      </c>
      <c r="C105" s="34">
        <v>4619.25</v>
      </c>
      <c r="D105" s="38">
        <f t="shared" si="2"/>
        <v>-3.0597790159599625E-2</v>
      </c>
      <c r="F105" s="34">
        <v>22513.7</v>
      </c>
      <c r="G105" s="38">
        <f t="shared" si="3"/>
        <v>-2.5311509187642134E-4</v>
      </c>
    </row>
    <row r="106" spans="2:7" ht="18.95" customHeight="1" x14ac:dyDescent="0.25">
      <c r="B106" s="36" t="s">
        <v>120</v>
      </c>
      <c r="C106" s="34">
        <v>4525.6000000000004</v>
      </c>
      <c r="D106" s="38">
        <f t="shared" si="2"/>
        <v>-2.0273853980624534E-2</v>
      </c>
      <c r="F106" s="34">
        <v>22326.9</v>
      </c>
      <c r="G106" s="38">
        <f t="shared" si="3"/>
        <v>-8.2971701674979803E-3</v>
      </c>
    </row>
    <row r="107" spans="2:7" ht="18.95" customHeight="1" x14ac:dyDescent="0.25">
      <c r="B107" s="36" t="s">
        <v>121</v>
      </c>
      <c r="C107" s="34">
        <v>4297.6000000000004</v>
      </c>
      <c r="D107" s="38">
        <f t="shared" si="2"/>
        <v>-5.0380060102527824E-2</v>
      </c>
      <c r="F107" s="34">
        <v>22096.75</v>
      </c>
      <c r="G107" s="38">
        <f t="shared" si="3"/>
        <v>-1.0308193255669229E-2</v>
      </c>
    </row>
    <row r="108" spans="2:7" ht="18.95" customHeight="1" x14ac:dyDescent="0.25">
      <c r="B108" s="36">
        <v>45568</v>
      </c>
      <c r="C108" s="34">
        <v>3932.1</v>
      </c>
      <c r="D108" s="38">
        <f t="shared" si="2"/>
        <v>-8.5047468354430444E-2</v>
      </c>
      <c r="F108" s="34">
        <v>22023.35</v>
      </c>
      <c r="G108" s="38">
        <f t="shared" si="3"/>
        <v>-3.3217554617761547E-3</v>
      </c>
    </row>
    <row r="109" spans="2:7" ht="18.95" customHeight="1" x14ac:dyDescent="0.25">
      <c r="B109" s="36">
        <v>45354</v>
      </c>
      <c r="C109" s="34">
        <v>3925.95</v>
      </c>
      <c r="D109" s="38">
        <f t="shared" si="2"/>
        <v>-1.5640497444113777E-3</v>
      </c>
      <c r="F109" s="34">
        <v>22493.55</v>
      </c>
      <c r="G109" s="38">
        <f t="shared" si="3"/>
        <v>2.1350067087886337E-2</v>
      </c>
    </row>
    <row r="110" spans="2:7" ht="18.95" customHeight="1" x14ac:dyDescent="0.25">
      <c r="B110" s="36" t="s">
        <v>122</v>
      </c>
      <c r="C110" s="34">
        <v>3884.15</v>
      </c>
      <c r="D110" s="38">
        <f t="shared" si="2"/>
        <v>-1.0647104522472195E-2</v>
      </c>
      <c r="F110" s="34">
        <v>22338.75</v>
      </c>
      <c r="G110" s="38">
        <f t="shared" si="3"/>
        <v>-6.8819728322118134E-3</v>
      </c>
    </row>
    <row r="111" spans="2:7" ht="18.95" customHeight="1" x14ac:dyDescent="0.25">
      <c r="B111" s="36" t="s">
        <v>123</v>
      </c>
      <c r="C111" s="34">
        <v>3840.55</v>
      </c>
      <c r="D111" s="38">
        <f t="shared" si="2"/>
        <v>-1.1225107166304094E-2</v>
      </c>
      <c r="F111" s="34">
        <v>22212.7</v>
      </c>
      <c r="G111" s="38">
        <f t="shared" si="3"/>
        <v>-5.6426612948351496E-3</v>
      </c>
    </row>
    <row r="112" spans="2:7" ht="18.95" customHeight="1" x14ac:dyDescent="0.25">
      <c r="B112" s="36">
        <v>45598</v>
      </c>
      <c r="C112" s="34">
        <v>3693.3</v>
      </c>
      <c r="D112" s="38">
        <f t="shared" si="2"/>
        <v>-3.8340862636861872E-2</v>
      </c>
      <c r="F112" s="34">
        <v>22040.7</v>
      </c>
      <c r="G112" s="38">
        <f t="shared" si="3"/>
        <v>-7.7433180117680855E-3</v>
      </c>
    </row>
    <row r="113" spans="2:7" ht="18.95" customHeight="1" x14ac:dyDescent="0.25">
      <c r="B113" s="36">
        <v>45384</v>
      </c>
      <c r="C113" s="34">
        <v>3719.2</v>
      </c>
      <c r="D113" s="38">
        <f t="shared" si="2"/>
        <v>7.0126986705654204E-3</v>
      </c>
      <c r="F113" s="34">
        <v>21782.5</v>
      </c>
      <c r="G113" s="38">
        <f t="shared" si="3"/>
        <v>-1.1714691457167858E-2</v>
      </c>
    </row>
  </sheetData>
  <mergeCells count="3">
    <mergeCell ref="B7:D7"/>
    <mergeCell ref="F7:G7"/>
    <mergeCell ref="I7:J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C0610-BDE6-4293-9748-C1351DD8CA51}">
  <dimension ref="B5:T113"/>
  <sheetViews>
    <sheetView showGridLines="0" topLeftCell="A39" workbookViewId="0">
      <selection activeCell="C9" sqref="C9:C67"/>
    </sheetView>
  </sheetViews>
  <sheetFormatPr defaultRowHeight="18.95" customHeight="1" x14ac:dyDescent="0.25"/>
  <cols>
    <col min="1" max="1" width="1.85546875" customWidth="1"/>
    <col min="2" max="2" width="10.7109375" bestFit="1" customWidth="1"/>
    <col min="3" max="8" width="12.7109375" customWidth="1"/>
    <col min="9" max="9" width="20.140625" customWidth="1"/>
    <col min="10" max="13" width="12.7109375" customWidth="1"/>
    <col min="14" max="14" width="14.5703125" bestFit="1" customWidth="1"/>
    <col min="15" max="15" width="12.7109375" customWidth="1"/>
    <col min="17" max="17" width="13.42578125" bestFit="1" customWidth="1"/>
    <col min="18" max="18" width="11" bestFit="1" customWidth="1"/>
    <col min="19" max="19" width="12.42578125" bestFit="1" customWidth="1"/>
    <col min="20" max="20" width="12.5703125" bestFit="1" customWidth="1"/>
  </cols>
  <sheetData>
    <row r="5" spans="2:13" ht="18.95" customHeight="1" x14ac:dyDescent="0.25">
      <c r="B5" s="31" t="s">
        <v>54</v>
      </c>
    </row>
    <row r="7" spans="2:13" ht="18.95" customHeight="1" x14ac:dyDescent="0.25">
      <c r="B7" s="140" t="s">
        <v>55</v>
      </c>
      <c r="C7" s="140"/>
      <c r="D7" s="140"/>
      <c r="F7" s="140" t="s">
        <v>59</v>
      </c>
      <c r="G7" s="140"/>
      <c r="I7" s="140" t="s">
        <v>60</v>
      </c>
      <c r="J7" s="140"/>
    </row>
    <row r="9" spans="2:13" ht="18.95" customHeight="1" x14ac:dyDescent="0.25">
      <c r="B9" s="33" t="s">
        <v>56</v>
      </c>
      <c r="C9" s="33" t="s">
        <v>57</v>
      </c>
      <c r="D9" s="33" t="s">
        <v>58</v>
      </c>
      <c r="F9" s="33" t="s">
        <v>57</v>
      </c>
      <c r="G9" s="33" t="s">
        <v>58</v>
      </c>
      <c r="I9" s="31" t="s">
        <v>153</v>
      </c>
      <c r="J9" s="20">
        <f>M10</f>
        <v>1.2186693985431987</v>
      </c>
    </row>
    <row r="10" spans="2:13" ht="18.95" customHeight="1" x14ac:dyDescent="0.25">
      <c r="B10" s="36" t="s">
        <v>61</v>
      </c>
      <c r="C10">
        <v>125.95</v>
      </c>
      <c r="F10" s="34">
        <v>25320.65</v>
      </c>
      <c r="I10" t="s">
        <v>154</v>
      </c>
      <c r="J10" s="22">
        <v>0.75</v>
      </c>
      <c r="L10" t="s">
        <v>124</v>
      </c>
      <c r="M10" s="20">
        <f>SLOPE(D11:D113,G11:G113)</f>
        <v>1.2186693985431987</v>
      </c>
    </row>
    <row r="11" spans="2:13" ht="18.95" customHeight="1" x14ac:dyDescent="0.25">
      <c r="B11" s="36" t="s">
        <v>62</v>
      </c>
      <c r="C11">
        <v>124.58</v>
      </c>
      <c r="D11" s="38">
        <f>(C11/C10)-1</f>
        <v>-1.0877332274712215E-2</v>
      </c>
      <c r="F11" s="34">
        <v>25048.65</v>
      </c>
      <c r="G11" s="38">
        <f>(F11/F10)-1</f>
        <v>-1.0742220282654702E-2</v>
      </c>
      <c r="L11" t="s">
        <v>125</v>
      </c>
      <c r="M11" s="20">
        <f>_xlfn.COVARIANCE.S(D10:D113,G10:G113)/_xlfn.VAR.S(G10:G113)</f>
        <v>1.2186693985431987</v>
      </c>
    </row>
    <row r="12" spans="2:13" ht="18.95" customHeight="1" x14ac:dyDescent="0.25">
      <c r="B12" s="36">
        <v>46327</v>
      </c>
      <c r="C12">
        <v>129.54</v>
      </c>
      <c r="D12" s="38">
        <f t="shared" ref="D12:D67" si="0">(C12/C11)-1</f>
        <v>3.9813774281586056E-2</v>
      </c>
      <c r="F12" s="34">
        <v>25694.35</v>
      </c>
      <c r="G12" s="38">
        <f t="shared" ref="G12:G67" si="1">(F12/F11)-1</f>
        <v>2.5777836330500792E-2</v>
      </c>
      <c r="I12" t="s">
        <v>156</v>
      </c>
      <c r="J12">
        <v>1</v>
      </c>
    </row>
    <row r="13" spans="2:13" ht="18.95" customHeight="1" x14ac:dyDescent="0.25">
      <c r="B13" s="36">
        <v>46113</v>
      </c>
      <c r="C13">
        <v>129.19</v>
      </c>
      <c r="D13" s="38">
        <f t="shared" si="0"/>
        <v>-2.7018681488343299E-3</v>
      </c>
      <c r="F13" s="34">
        <v>25683.3</v>
      </c>
      <c r="G13" s="38">
        <f t="shared" si="1"/>
        <v>-4.3005563479903142E-4</v>
      </c>
      <c r="I13" t="s">
        <v>155</v>
      </c>
      <c r="J13" s="22">
        <v>0.25</v>
      </c>
      <c r="L13" t="s">
        <v>126</v>
      </c>
      <c r="M13" s="20">
        <f>M32</f>
        <v>1.2186693985431984</v>
      </c>
    </row>
    <row r="14" spans="2:13" ht="18.95" customHeight="1" x14ac:dyDescent="0.25">
      <c r="B14" s="36" t="s">
        <v>63</v>
      </c>
      <c r="C14">
        <v>135.94999999999999</v>
      </c>
      <c r="D14" s="38">
        <f t="shared" si="0"/>
        <v>5.2326031426580988E-2</v>
      </c>
      <c r="F14" s="34">
        <v>26328.55</v>
      </c>
      <c r="G14" s="38">
        <f t="shared" si="1"/>
        <v>2.5123329167201947E-2</v>
      </c>
    </row>
    <row r="15" spans="2:13" ht="18.95" customHeight="1" x14ac:dyDescent="0.25">
      <c r="B15" s="36" t="s">
        <v>64</v>
      </c>
      <c r="C15">
        <v>136.26</v>
      </c>
      <c r="D15" s="38">
        <f t="shared" si="0"/>
        <v>2.280250091945657E-3</v>
      </c>
      <c r="F15" s="34">
        <v>26042.3</v>
      </c>
      <c r="G15" s="38">
        <f t="shared" si="1"/>
        <v>-1.0872228056615363E-2</v>
      </c>
      <c r="I15" s="43" t="s">
        <v>157</v>
      </c>
      <c r="J15" s="8">
        <f>(J9*J10)+(J12*J13)</f>
        <v>1.164002048907399</v>
      </c>
      <c r="L15" t="s">
        <v>128</v>
      </c>
    </row>
    <row r="16" spans="2:13" ht="18.95" customHeight="1" thickBot="1" x14ac:dyDescent="0.3">
      <c r="B16" s="36" t="s">
        <v>65</v>
      </c>
      <c r="C16">
        <v>138.07</v>
      </c>
      <c r="D16" s="38">
        <f t="shared" si="0"/>
        <v>1.3283428739175207E-2</v>
      </c>
      <c r="F16" s="34">
        <v>25966.400000000001</v>
      </c>
      <c r="G16" s="38">
        <f t="shared" si="1"/>
        <v>-2.9144891196245526E-3</v>
      </c>
    </row>
    <row r="17" spans="2:20" ht="18.95" customHeight="1" x14ac:dyDescent="0.25">
      <c r="B17" s="36">
        <v>45850</v>
      </c>
      <c r="C17">
        <v>134.77000000000001</v>
      </c>
      <c r="D17" s="38">
        <f t="shared" si="0"/>
        <v>-2.3900919823277911E-2</v>
      </c>
      <c r="F17" s="34">
        <v>26046.95</v>
      </c>
      <c r="G17" s="38">
        <f t="shared" si="1"/>
        <v>3.10208577238269E-3</v>
      </c>
      <c r="L17" s="41" t="s">
        <v>129</v>
      </c>
      <c r="M17" s="41"/>
    </row>
    <row r="18" spans="2:20" ht="18.95" customHeight="1" x14ac:dyDescent="0.25">
      <c r="B18" s="36" t="s">
        <v>66</v>
      </c>
      <c r="C18">
        <v>133.03</v>
      </c>
      <c r="D18" s="38">
        <f t="shared" si="0"/>
        <v>-1.2910885211842471E-2</v>
      </c>
      <c r="F18" s="34">
        <v>26186.45</v>
      </c>
      <c r="G18" s="38">
        <f t="shared" si="1"/>
        <v>5.3557134328587885E-3</v>
      </c>
      <c r="L18" t="s">
        <v>130</v>
      </c>
      <c r="M18">
        <v>0.54981222971718746</v>
      </c>
    </row>
    <row r="19" spans="2:20" ht="18.95" customHeight="1" x14ac:dyDescent="0.25">
      <c r="B19" s="36" t="s">
        <v>67</v>
      </c>
      <c r="C19">
        <v>135.80000000000001</v>
      </c>
      <c r="D19" s="38">
        <f t="shared" si="0"/>
        <v>2.082237089378336E-2</v>
      </c>
      <c r="F19" s="34">
        <v>26202.95</v>
      </c>
      <c r="G19" s="38">
        <f t="shared" si="1"/>
        <v>6.3009686307236024E-4</v>
      </c>
      <c r="L19" t="s">
        <v>131</v>
      </c>
      <c r="M19">
        <v>0.30229348794658528</v>
      </c>
    </row>
    <row r="20" spans="2:20" ht="18.95" customHeight="1" x14ac:dyDescent="0.25">
      <c r="B20" s="36" t="s">
        <v>68</v>
      </c>
      <c r="C20">
        <v>130.91999999999999</v>
      </c>
      <c r="D20" s="38">
        <f t="shared" si="0"/>
        <v>-3.5935198821796965E-2</v>
      </c>
      <c r="F20" s="34">
        <v>26068.15</v>
      </c>
      <c r="G20" s="38">
        <f t="shared" si="1"/>
        <v>-5.144458925426254E-3</v>
      </c>
      <c r="L20" t="s">
        <v>132</v>
      </c>
      <c r="M20">
        <v>0.28960791500015959</v>
      </c>
    </row>
    <row r="21" spans="2:20" ht="18.95" customHeight="1" x14ac:dyDescent="0.25">
      <c r="B21" s="36">
        <v>45911</v>
      </c>
      <c r="C21">
        <v>136.94</v>
      </c>
      <c r="D21" s="38">
        <f t="shared" si="0"/>
        <v>4.5982279254506597E-2</v>
      </c>
      <c r="F21" s="34">
        <v>25910.05</v>
      </c>
      <c r="G21" s="38">
        <f t="shared" si="1"/>
        <v>-6.0648722674989664E-3</v>
      </c>
      <c r="L21" t="s">
        <v>133</v>
      </c>
      <c r="M21">
        <v>3.0868880105975747E-2</v>
      </c>
    </row>
    <row r="22" spans="2:20" ht="18.95" customHeight="1" thickBot="1" x14ac:dyDescent="0.3">
      <c r="B22" s="36">
        <v>45699</v>
      </c>
      <c r="C22">
        <v>143.18</v>
      </c>
      <c r="D22" s="38">
        <f t="shared" si="0"/>
        <v>4.5567401781802408E-2</v>
      </c>
      <c r="F22" s="34">
        <v>25492.3</v>
      </c>
      <c r="G22" s="38">
        <f t="shared" si="1"/>
        <v>-1.6123087373432266E-2</v>
      </c>
      <c r="L22" s="39" t="s">
        <v>134</v>
      </c>
      <c r="M22" s="39">
        <v>57</v>
      </c>
    </row>
    <row r="23" spans="2:20" ht="18.95" customHeight="1" x14ac:dyDescent="0.25">
      <c r="B23" s="36" t="s">
        <v>69</v>
      </c>
      <c r="C23">
        <v>144.69</v>
      </c>
      <c r="D23" s="38">
        <f t="shared" si="0"/>
        <v>1.054616566559563E-2</v>
      </c>
      <c r="F23" s="34">
        <v>25722.1</v>
      </c>
      <c r="G23" s="38">
        <f t="shared" si="1"/>
        <v>9.0144867273647122E-3</v>
      </c>
    </row>
    <row r="24" spans="2:20" ht="18.95" customHeight="1" thickBot="1" x14ac:dyDescent="0.3">
      <c r="B24" s="36" t="s">
        <v>70</v>
      </c>
      <c r="C24">
        <v>148.29</v>
      </c>
      <c r="D24" s="38">
        <f t="shared" si="0"/>
        <v>2.4880779597760583E-2</v>
      </c>
      <c r="F24" s="34">
        <v>25795.15</v>
      </c>
      <c r="G24" s="38">
        <f t="shared" si="1"/>
        <v>2.839970297915162E-3</v>
      </c>
      <c r="L24" t="s">
        <v>135</v>
      </c>
    </row>
    <row r="25" spans="2:20" ht="18.95" customHeight="1" x14ac:dyDescent="0.25">
      <c r="B25" s="36">
        <v>46001</v>
      </c>
      <c r="C25">
        <v>148.43</v>
      </c>
      <c r="D25" s="38">
        <f t="shared" si="0"/>
        <v>9.4409602805334281E-4</v>
      </c>
      <c r="F25" s="34">
        <v>25709.85</v>
      </c>
      <c r="G25" s="38">
        <f t="shared" si="1"/>
        <v>-3.3068231818773608E-3</v>
      </c>
      <c r="L25" s="40"/>
      <c r="M25" s="40" t="s">
        <v>140</v>
      </c>
      <c r="N25" s="40" t="s">
        <v>141</v>
      </c>
      <c r="O25" s="40" t="s">
        <v>142</v>
      </c>
      <c r="P25" s="40" t="s">
        <v>143</v>
      </c>
      <c r="Q25" s="40" t="s">
        <v>144</v>
      </c>
    </row>
    <row r="26" spans="2:20" ht="18.95" customHeight="1" x14ac:dyDescent="0.25">
      <c r="B26" s="36">
        <v>45787</v>
      </c>
      <c r="C26">
        <v>146.19999999999999</v>
      </c>
      <c r="D26" s="38">
        <f t="shared" si="0"/>
        <v>-1.5023916997911613E-2</v>
      </c>
      <c r="F26" s="34">
        <v>25285.35</v>
      </c>
      <c r="G26" s="38">
        <f t="shared" si="1"/>
        <v>-1.6511181512144146E-2</v>
      </c>
      <c r="L26" t="s">
        <v>136</v>
      </c>
      <c r="M26">
        <v>1</v>
      </c>
      <c r="N26">
        <v>2.2707036213922158E-2</v>
      </c>
      <c r="O26">
        <v>2.2707036213922158E-2</v>
      </c>
      <c r="P26">
        <v>23.82970711872807</v>
      </c>
      <c r="Q26">
        <v>9.4284518020465249E-6</v>
      </c>
    </row>
    <row r="27" spans="2:20" ht="18.95" customHeight="1" x14ac:dyDescent="0.25">
      <c r="B27" s="36" t="s">
        <v>71</v>
      </c>
      <c r="C27">
        <v>149.99</v>
      </c>
      <c r="D27" s="38">
        <f t="shared" si="0"/>
        <v>2.5923392612859253E-2</v>
      </c>
      <c r="F27" s="34">
        <v>24894.25</v>
      </c>
      <c r="G27" s="38">
        <f t="shared" si="1"/>
        <v>-1.5467454474626607E-2</v>
      </c>
      <c r="L27" t="s">
        <v>137</v>
      </c>
      <c r="M27">
        <v>55</v>
      </c>
      <c r="N27">
        <v>5.2408826744840792E-2</v>
      </c>
      <c r="O27">
        <v>9.5288775899710532E-4</v>
      </c>
    </row>
    <row r="28" spans="2:20" ht="18.95" customHeight="1" thickBot="1" x14ac:dyDescent="0.3">
      <c r="B28" s="36" t="s">
        <v>72</v>
      </c>
      <c r="C28">
        <v>143.94999999999999</v>
      </c>
      <c r="D28" s="38">
        <f t="shared" si="0"/>
        <v>-4.0269351290086131E-2</v>
      </c>
      <c r="F28" s="34">
        <v>24654.7</v>
      </c>
      <c r="G28" s="38">
        <f t="shared" si="1"/>
        <v>-9.6227040380810758E-3</v>
      </c>
      <c r="L28" s="39" t="s">
        <v>138</v>
      </c>
      <c r="M28" s="39">
        <v>56</v>
      </c>
      <c r="N28" s="39">
        <v>7.5115862958762949E-2</v>
      </c>
      <c r="O28" s="39"/>
      <c r="P28" s="39"/>
      <c r="Q28" s="39"/>
    </row>
    <row r="29" spans="2:20" ht="18.95" customHeight="1" thickBot="1" x14ac:dyDescent="0.3">
      <c r="B29" s="36" t="s">
        <v>73</v>
      </c>
      <c r="C29">
        <v>152.35</v>
      </c>
      <c r="D29" s="38">
        <f t="shared" si="0"/>
        <v>5.8353594998263425E-2</v>
      </c>
      <c r="F29" s="34">
        <v>25327.05</v>
      </c>
      <c r="G29" s="38">
        <f t="shared" si="1"/>
        <v>2.7270662388915623E-2</v>
      </c>
    </row>
    <row r="30" spans="2:20" ht="18.95" customHeight="1" x14ac:dyDescent="0.25">
      <c r="B30" s="36">
        <v>45847</v>
      </c>
      <c r="C30">
        <v>152.59</v>
      </c>
      <c r="D30" s="38">
        <f t="shared" si="0"/>
        <v>1.5753199868724366E-3</v>
      </c>
      <c r="F30" s="34">
        <v>25114</v>
      </c>
      <c r="G30" s="38">
        <f t="shared" si="1"/>
        <v>-8.4119548072120187E-3</v>
      </c>
      <c r="L30" s="40"/>
      <c r="M30" s="40" t="s">
        <v>145</v>
      </c>
      <c r="N30" s="40" t="s">
        <v>133</v>
      </c>
      <c r="O30" s="40" t="s">
        <v>146</v>
      </c>
      <c r="P30" s="40" t="s">
        <v>147</v>
      </c>
      <c r="Q30" s="40" t="s">
        <v>148</v>
      </c>
      <c r="R30" s="40" t="s">
        <v>149</v>
      </c>
      <c r="S30" s="40" t="s">
        <v>150</v>
      </c>
      <c r="T30" s="40" t="s">
        <v>151</v>
      </c>
    </row>
    <row r="31" spans="2:20" ht="18.95" customHeight="1" x14ac:dyDescent="0.25">
      <c r="B31" s="36" t="s">
        <v>74</v>
      </c>
      <c r="C31">
        <v>152.47999999999999</v>
      </c>
      <c r="D31" s="38">
        <f t="shared" si="0"/>
        <v>-7.2088603447151289E-4</v>
      </c>
      <c r="F31" s="34">
        <v>24741</v>
      </c>
      <c r="G31" s="38">
        <f t="shared" si="1"/>
        <v>-1.4852273632236956E-2</v>
      </c>
      <c r="L31" t="s">
        <v>139</v>
      </c>
      <c r="M31">
        <v>-1.1869366535825758E-3</v>
      </c>
      <c r="N31">
        <v>4.095432168814998E-3</v>
      </c>
      <c r="O31">
        <v>-0.28981963432836266</v>
      </c>
      <c r="P31">
        <v>0.77304405581022784</v>
      </c>
      <c r="Q31">
        <v>-9.3943661268108235E-3</v>
      </c>
      <c r="R31">
        <v>7.0204928196456714E-3</v>
      </c>
      <c r="S31">
        <v>-9.3943661268108235E-3</v>
      </c>
      <c r="T31">
        <v>7.0204928196456714E-3</v>
      </c>
    </row>
    <row r="32" spans="2:20" ht="18.95" customHeight="1" thickBot="1" x14ac:dyDescent="0.3">
      <c r="B32" s="36" t="s">
        <v>75</v>
      </c>
      <c r="C32">
        <v>149.41</v>
      </c>
      <c r="D32" s="38">
        <f t="shared" si="0"/>
        <v>-2.0133788037775435E-2</v>
      </c>
      <c r="F32" s="34">
        <v>24426.85</v>
      </c>
      <c r="G32" s="38">
        <f t="shared" si="1"/>
        <v>-1.2697546582595698E-2</v>
      </c>
      <c r="L32" s="39" t="s">
        <v>152</v>
      </c>
      <c r="M32" s="39">
        <v>1.2186693985431984</v>
      </c>
      <c r="N32" s="39">
        <v>0.2496471161482465</v>
      </c>
      <c r="O32" s="39">
        <v>4.8815681003882414</v>
      </c>
      <c r="P32" s="39">
        <v>9.4284518020465249E-6</v>
      </c>
      <c r="Q32" s="39">
        <v>0.71836539776312569</v>
      </c>
      <c r="R32" s="39">
        <v>1.7189733993232712</v>
      </c>
      <c r="S32" s="39">
        <v>0.71836539776312569</v>
      </c>
      <c r="T32" s="39">
        <v>1.7189733993232712</v>
      </c>
    </row>
    <row r="33" spans="2:7" ht="18.95" customHeight="1" x14ac:dyDescent="0.25">
      <c r="B33" s="36" t="s">
        <v>76</v>
      </c>
      <c r="C33">
        <v>150.66999999999999</v>
      </c>
      <c r="D33" s="38">
        <f t="shared" si="0"/>
        <v>8.4331704705173927E-3</v>
      </c>
      <c r="F33" s="34">
        <v>24870.1</v>
      </c>
      <c r="G33" s="38">
        <f t="shared" si="1"/>
        <v>1.8146015552557904E-2</v>
      </c>
    </row>
    <row r="34" spans="2:7" ht="18.95" customHeight="1" x14ac:dyDescent="0.25">
      <c r="B34" s="36">
        <v>45938</v>
      </c>
      <c r="C34">
        <v>146.56</v>
      </c>
      <c r="D34" s="38">
        <f t="shared" si="0"/>
        <v>-2.7278157562885652E-2</v>
      </c>
      <c r="F34" s="34">
        <v>24631.3</v>
      </c>
      <c r="G34" s="38">
        <f t="shared" si="1"/>
        <v>-9.6018914278591661E-3</v>
      </c>
    </row>
    <row r="35" spans="2:7" ht="18.95" customHeight="1" x14ac:dyDescent="0.25">
      <c r="B35" s="36">
        <v>45724</v>
      </c>
      <c r="C35">
        <v>139.01</v>
      </c>
      <c r="D35" s="38">
        <f t="shared" si="0"/>
        <v>-5.151473799126649E-2</v>
      </c>
      <c r="F35" s="34">
        <v>24363.3</v>
      </c>
      <c r="G35" s="38">
        <f t="shared" si="1"/>
        <v>-1.0880465099284198E-2</v>
      </c>
    </row>
    <row r="36" spans="2:7" ht="18.95" customHeight="1" x14ac:dyDescent="0.25">
      <c r="B36" s="36" t="s">
        <v>77</v>
      </c>
      <c r="C36">
        <v>141.07</v>
      </c>
      <c r="D36" s="38">
        <f t="shared" si="0"/>
        <v>1.481907776418967E-2</v>
      </c>
      <c r="F36" s="34">
        <v>24565.35</v>
      </c>
      <c r="G36" s="38">
        <f t="shared" si="1"/>
        <v>8.2932115107559046E-3</v>
      </c>
    </row>
    <row r="37" spans="2:7" ht="18.95" customHeight="1" x14ac:dyDescent="0.25">
      <c r="B37" s="36" t="s">
        <v>78</v>
      </c>
      <c r="C37">
        <v>139.93</v>
      </c>
      <c r="D37" s="38">
        <f t="shared" si="0"/>
        <v>-8.0810944920960415E-3</v>
      </c>
      <c r="F37" s="34">
        <v>24837</v>
      </c>
      <c r="G37" s="38">
        <f t="shared" si="1"/>
        <v>1.1058258889045103E-2</v>
      </c>
    </row>
    <row r="38" spans="2:7" ht="18.95" customHeight="1" x14ac:dyDescent="0.25">
      <c r="B38" s="36" t="s">
        <v>79</v>
      </c>
      <c r="C38">
        <v>138.07</v>
      </c>
      <c r="D38" s="38">
        <f t="shared" si="0"/>
        <v>-1.3292360465947395E-2</v>
      </c>
      <c r="F38" s="34">
        <v>24968.400000000001</v>
      </c>
      <c r="G38" s="38">
        <f t="shared" si="1"/>
        <v>5.2904940210170004E-3</v>
      </c>
    </row>
    <row r="39" spans="2:7" ht="18.95" customHeight="1" x14ac:dyDescent="0.25">
      <c r="B39" s="36">
        <v>45815</v>
      </c>
      <c r="C39">
        <v>133.62</v>
      </c>
      <c r="D39" s="38">
        <f t="shared" si="0"/>
        <v>-3.2230028246541531E-2</v>
      </c>
      <c r="F39" s="34">
        <v>25149.85</v>
      </c>
      <c r="G39" s="38">
        <f t="shared" si="1"/>
        <v>7.267185722753533E-3</v>
      </c>
    </row>
    <row r="40" spans="2:7" ht="18.95" customHeight="1" x14ac:dyDescent="0.25">
      <c r="B40" s="36" t="s">
        <v>80</v>
      </c>
      <c r="C40">
        <v>129.35</v>
      </c>
      <c r="D40" s="38">
        <f t="shared" si="0"/>
        <v>-3.1956293967968952E-2</v>
      </c>
      <c r="F40" s="34">
        <v>25461</v>
      </c>
      <c r="G40" s="38">
        <f t="shared" si="1"/>
        <v>1.2371843172026997E-2</v>
      </c>
    </row>
    <row r="41" spans="2:7" ht="18.95" customHeight="1" x14ac:dyDescent="0.25">
      <c r="B41" s="36" t="s">
        <v>81</v>
      </c>
      <c r="C41">
        <v>134.66</v>
      </c>
      <c r="D41" s="38">
        <f t="shared" si="0"/>
        <v>4.1051410900657226E-2</v>
      </c>
      <c r="F41" s="34">
        <v>25637.8</v>
      </c>
      <c r="G41" s="38">
        <f t="shared" si="1"/>
        <v>6.9439534975059836E-3</v>
      </c>
    </row>
    <row r="42" spans="2:7" ht="18.95" customHeight="1" x14ac:dyDescent="0.25">
      <c r="B42" s="36" t="s">
        <v>82</v>
      </c>
      <c r="C42">
        <v>129.62</v>
      </c>
      <c r="D42" s="38">
        <f t="shared" si="0"/>
        <v>-3.7427595425516103E-2</v>
      </c>
      <c r="F42" s="34">
        <v>25112.400000000001</v>
      </c>
      <c r="G42" s="38">
        <f t="shared" si="1"/>
        <v>-2.0493178041797622E-2</v>
      </c>
    </row>
    <row r="43" spans="2:7" ht="18.95" customHeight="1" x14ac:dyDescent="0.25">
      <c r="B43" s="36">
        <v>45875</v>
      </c>
      <c r="C43">
        <v>123.69</v>
      </c>
      <c r="D43" s="38">
        <f t="shared" si="0"/>
        <v>-4.5749112791235946E-2</v>
      </c>
      <c r="F43" s="34">
        <v>24718.6</v>
      </c>
      <c r="G43" s="38">
        <f t="shared" si="1"/>
        <v>-1.568149599401103E-2</v>
      </c>
    </row>
    <row r="44" spans="2:7" ht="18.95" customHeight="1" x14ac:dyDescent="0.25">
      <c r="B44" s="36">
        <v>45663</v>
      </c>
      <c r="C44">
        <v>127.23</v>
      </c>
      <c r="D44" s="38">
        <f t="shared" si="0"/>
        <v>2.8619936939122015E-2</v>
      </c>
      <c r="F44" s="34">
        <v>25003.05</v>
      </c>
      <c r="G44" s="38">
        <f t="shared" si="1"/>
        <v>1.1507528743537332E-2</v>
      </c>
    </row>
    <row r="45" spans="2:7" ht="18.95" customHeight="1" x14ac:dyDescent="0.25">
      <c r="B45" s="36" t="s">
        <v>83</v>
      </c>
      <c r="C45">
        <v>124.66</v>
      </c>
      <c r="D45" s="38">
        <f t="shared" si="0"/>
        <v>-2.0199638450051127E-2</v>
      </c>
      <c r="F45" s="34">
        <v>24750.7</v>
      </c>
      <c r="G45" s="38">
        <f t="shared" si="1"/>
        <v>-1.0092768682220754E-2</v>
      </c>
    </row>
    <row r="46" spans="2:7" ht="18.95" customHeight="1" x14ac:dyDescent="0.25">
      <c r="B46" s="36" t="s">
        <v>84</v>
      </c>
      <c r="C46">
        <v>122.72</v>
      </c>
      <c r="D46" s="38">
        <f t="shared" si="0"/>
        <v>-1.5562329536338848E-2</v>
      </c>
      <c r="F46" s="34">
        <v>24853.15</v>
      </c>
      <c r="G46" s="38">
        <f t="shared" si="1"/>
        <v>4.139276868937003E-3</v>
      </c>
    </row>
    <row r="47" spans="2:7" ht="18.95" customHeight="1" x14ac:dyDescent="0.25">
      <c r="B47" s="36">
        <v>45966</v>
      </c>
      <c r="C47">
        <v>126.27</v>
      </c>
      <c r="D47" s="38">
        <f t="shared" si="0"/>
        <v>2.8927640156453771E-2</v>
      </c>
      <c r="F47" s="34">
        <v>25019.8</v>
      </c>
      <c r="G47" s="38">
        <f t="shared" si="1"/>
        <v>6.705387445856914E-3</v>
      </c>
    </row>
    <row r="48" spans="2:7" ht="18.95" customHeight="1" x14ac:dyDescent="0.25">
      <c r="B48" s="36">
        <v>45752</v>
      </c>
      <c r="C48">
        <v>120.79</v>
      </c>
      <c r="D48" s="38">
        <f t="shared" si="0"/>
        <v>-4.3399065494575062E-2</v>
      </c>
      <c r="F48" s="34">
        <v>24008</v>
      </c>
      <c r="G48" s="38">
        <f t="shared" si="1"/>
        <v>-4.0439971542538311E-2</v>
      </c>
    </row>
    <row r="49" spans="2:7" ht="18.95" customHeight="1" x14ac:dyDescent="0.25">
      <c r="B49" s="36" t="s">
        <v>85</v>
      </c>
      <c r="C49">
        <v>121.31</v>
      </c>
      <c r="D49" s="38">
        <f t="shared" si="0"/>
        <v>4.3049921351105969E-3</v>
      </c>
      <c r="F49" s="34">
        <v>24346.7</v>
      </c>
      <c r="G49" s="38">
        <f t="shared" si="1"/>
        <v>1.4107797400866318E-2</v>
      </c>
    </row>
    <row r="50" spans="2:7" ht="18.95" customHeight="1" x14ac:dyDescent="0.25">
      <c r="B50" s="36" t="s">
        <v>86</v>
      </c>
      <c r="C50">
        <v>107.32</v>
      </c>
      <c r="D50" s="38">
        <f t="shared" si="0"/>
        <v>-0.11532437556672992</v>
      </c>
      <c r="F50" s="34">
        <v>24039.35</v>
      </c>
      <c r="G50" s="38">
        <f t="shared" si="1"/>
        <v>-1.2623887426222113E-2</v>
      </c>
    </row>
    <row r="51" spans="2:7" ht="18.95" customHeight="1" x14ac:dyDescent="0.25">
      <c r="B51" s="36" t="s">
        <v>87</v>
      </c>
      <c r="C51">
        <v>108.67</v>
      </c>
      <c r="D51" s="38">
        <f t="shared" si="0"/>
        <v>1.2579202385389676E-2</v>
      </c>
      <c r="F51" s="34">
        <v>23851.65</v>
      </c>
      <c r="G51" s="38">
        <f t="shared" si="1"/>
        <v>-7.8080314151587338E-3</v>
      </c>
    </row>
    <row r="52" spans="2:7" ht="18.95" customHeight="1" x14ac:dyDescent="0.25">
      <c r="B52" s="36">
        <v>45812</v>
      </c>
      <c r="C52">
        <v>104.51</v>
      </c>
      <c r="D52" s="38">
        <f t="shared" si="0"/>
        <v>-3.828103432410046E-2</v>
      </c>
      <c r="F52" s="34">
        <v>22828.55</v>
      </c>
      <c r="G52" s="38">
        <f t="shared" si="1"/>
        <v>-4.2894307102443685E-2</v>
      </c>
    </row>
    <row r="53" spans="2:7" ht="18.95" customHeight="1" x14ac:dyDescent="0.25">
      <c r="B53" s="36" t="s">
        <v>88</v>
      </c>
      <c r="C53">
        <v>105.79</v>
      </c>
      <c r="D53" s="38">
        <f t="shared" si="0"/>
        <v>1.224763180556887E-2</v>
      </c>
      <c r="F53" s="34">
        <v>22904.45</v>
      </c>
      <c r="G53" s="38">
        <f t="shared" si="1"/>
        <v>3.3247840971064591E-3</v>
      </c>
    </row>
    <row r="54" spans="2:7" ht="18.95" customHeight="1" x14ac:dyDescent="0.25">
      <c r="B54" s="36" t="s">
        <v>89</v>
      </c>
      <c r="C54">
        <v>104.24</v>
      </c>
      <c r="D54" s="38">
        <f t="shared" si="0"/>
        <v>-1.4651668399659812E-2</v>
      </c>
      <c r="F54" s="34">
        <v>23519.35</v>
      </c>
      <c r="G54" s="38">
        <f t="shared" si="1"/>
        <v>2.6846311524616251E-2</v>
      </c>
    </row>
    <row r="55" spans="2:7" ht="18.95" customHeight="1" x14ac:dyDescent="0.25">
      <c r="B55" s="36" t="s">
        <v>90</v>
      </c>
      <c r="C55">
        <v>102.1</v>
      </c>
      <c r="D55" s="38">
        <f t="shared" si="0"/>
        <v>-2.0529547198772091E-2</v>
      </c>
      <c r="F55" s="34">
        <v>23350.400000000001</v>
      </c>
      <c r="G55" s="38">
        <f t="shared" si="1"/>
        <v>-7.1834468214468927E-3</v>
      </c>
    </row>
    <row r="56" spans="2:7" ht="18.95" customHeight="1" x14ac:dyDescent="0.25">
      <c r="B56" s="36">
        <v>45903</v>
      </c>
      <c r="C56">
        <v>99.44</v>
      </c>
      <c r="D56" s="38">
        <f t="shared" si="0"/>
        <v>-2.6052889324191919E-2</v>
      </c>
      <c r="F56" s="34">
        <v>22397.200000000001</v>
      </c>
      <c r="G56" s="38">
        <f t="shared" si="1"/>
        <v>-4.0821570508428162E-2</v>
      </c>
    </row>
    <row r="57" spans="2:7" ht="18.95" customHeight="1" x14ac:dyDescent="0.25">
      <c r="B57" s="36">
        <v>45691</v>
      </c>
      <c r="C57">
        <v>104.57</v>
      </c>
      <c r="D57" s="38">
        <f t="shared" si="0"/>
        <v>5.1588897827835822E-2</v>
      </c>
      <c r="F57" s="34">
        <v>22552.5</v>
      </c>
      <c r="G57" s="38">
        <f t="shared" si="1"/>
        <v>6.9339024520922443E-3</v>
      </c>
    </row>
    <row r="58" spans="2:7" ht="18.95" customHeight="1" x14ac:dyDescent="0.25">
      <c r="B58" s="36" t="s">
        <v>91</v>
      </c>
      <c r="C58">
        <v>100.21</v>
      </c>
      <c r="D58" s="38">
        <f t="shared" si="0"/>
        <v>-4.1694558668834314E-2</v>
      </c>
      <c r="F58" s="34">
        <v>22124.7</v>
      </c>
      <c r="G58" s="38">
        <f t="shared" si="1"/>
        <v>-1.8969072164948475E-2</v>
      </c>
    </row>
    <row r="59" spans="2:7" ht="18.95" customHeight="1" x14ac:dyDescent="0.25">
      <c r="B59" s="36" t="s">
        <v>92</v>
      </c>
      <c r="C59">
        <v>102.65</v>
      </c>
      <c r="D59" s="38">
        <f t="shared" si="0"/>
        <v>2.4348867378505279E-2</v>
      </c>
      <c r="F59" s="34">
        <v>22795.9</v>
      </c>
      <c r="G59" s="38">
        <f t="shared" si="1"/>
        <v>3.0337134514818231E-2</v>
      </c>
    </row>
    <row r="60" spans="2:7" ht="18.95" customHeight="1" x14ac:dyDescent="0.25">
      <c r="B60" s="36">
        <v>45902</v>
      </c>
      <c r="C60">
        <v>104.54</v>
      </c>
      <c r="D60" s="38">
        <f t="shared" si="0"/>
        <v>1.8412079883098009E-2</v>
      </c>
      <c r="F60" s="34">
        <v>22929.25</v>
      </c>
      <c r="G60" s="38">
        <f t="shared" si="1"/>
        <v>5.8497361367613188E-3</v>
      </c>
    </row>
    <row r="61" spans="2:7" ht="18.95" customHeight="1" x14ac:dyDescent="0.25">
      <c r="B61" s="36">
        <v>45690</v>
      </c>
      <c r="C61">
        <v>113.13</v>
      </c>
      <c r="D61" s="38">
        <f t="shared" si="0"/>
        <v>8.2169504495886558E-2</v>
      </c>
      <c r="F61" s="34">
        <v>23559.95</v>
      </c>
      <c r="G61" s="38">
        <f t="shared" si="1"/>
        <v>2.7506351058146361E-2</v>
      </c>
    </row>
    <row r="62" spans="2:7" ht="18.95" customHeight="1" x14ac:dyDescent="0.25">
      <c r="B62" s="36" t="s">
        <v>93</v>
      </c>
      <c r="C62">
        <v>107.95</v>
      </c>
      <c r="D62" s="38">
        <f t="shared" si="0"/>
        <v>-4.5788031468222301E-2</v>
      </c>
      <c r="F62" s="34">
        <v>23508.400000000001</v>
      </c>
      <c r="G62" s="38">
        <f t="shared" si="1"/>
        <v>-2.188035203809835E-3</v>
      </c>
    </row>
    <row r="63" spans="2:7" ht="18.95" customHeight="1" x14ac:dyDescent="0.25">
      <c r="B63" s="36" t="s">
        <v>94</v>
      </c>
      <c r="C63">
        <v>102.81</v>
      </c>
      <c r="D63" s="38">
        <f t="shared" si="0"/>
        <v>-4.7614636405743371E-2</v>
      </c>
      <c r="F63" s="34">
        <v>23092.2</v>
      </c>
      <c r="G63" s="38">
        <f t="shared" si="1"/>
        <v>-1.7704309948784247E-2</v>
      </c>
    </row>
    <row r="64" spans="2:7" ht="18.95" customHeight="1" x14ac:dyDescent="0.25">
      <c r="B64" s="36">
        <v>45992</v>
      </c>
      <c r="C64">
        <v>109.84</v>
      </c>
      <c r="D64" s="38">
        <f t="shared" si="0"/>
        <v>6.8378562396653964E-2</v>
      </c>
      <c r="F64" s="34">
        <v>23203.200000000001</v>
      </c>
      <c r="G64" s="38">
        <f t="shared" si="1"/>
        <v>4.8068178865590117E-3</v>
      </c>
    </row>
    <row r="65" spans="2:7" ht="18.95" customHeight="1" x14ac:dyDescent="0.25">
      <c r="B65" s="36">
        <v>45778</v>
      </c>
      <c r="C65">
        <v>108.51</v>
      </c>
      <c r="D65" s="38">
        <f t="shared" si="0"/>
        <v>-1.2108521485797552E-2</v>
      </c>
      <c r="F65" s="34">
        <v>23431.5</v>
      </c>
      <c r="G65" s="38">
        <f t="shared" si="1"/>
        <v>9.8391601158460684E-3</v>
      </c>
    </row>
    <row r="66" spans="2:7" ht="18.95" customHeight="1" x14ac:dyDescent="0.25">
      <c r="B66" s="36" t="s">
        <v>95</v>
      </c>
      <c r="C66">
        <v>112.18</v>
      </c>
      <c r="D66" s="38">
        <f t="shared" si="0"/>
        <v>3.3821767579024886E-2</v>
      </c>
      <c r="F66" s="34">
        <v>24004.75</v>
      </c>
      <c r="G66" s="38">
        <f t="shared" si="1"/>
        <v>2.4464929688666981E-2</v>
      </c>
    </row>
    <row r="67" spans="2:7" ht="18.95" customHeight="1" x14ac:dyDescent="0.25">
      <c r="B67" s="36" t="s">
        <v>96</v>
      </c>
      <c r="C67">
        <v>106.14</v>
      </c>
      <c r="D67" s="38">
        <f t="shared" si="0"/>
        <v>-5.3842039579247714E-2</v>
      </c>
      <c r="F67" s="34">
        <v>23813.4</v>
      </c>
      <c r="G67" s="38">
        <f t="shared" si="1"/>
        <v>-7.9713390058216982E-3</v>
      </c>
    </row>
    <row r="68" spans="2:7" ht="18.95" customHeight="1" x14ac:dyDescent="0.25">
      <c r="B68" s="36"/>
      <c r="C68" s="34"/>
      <c r="D68" s="38"/>
      <c r="F68" s="34"/>
      <c r="G68" s="38"/>
    </row>
    <row r="69" spans="2:7" ht="18.95" customHeight="1" x14ac:dyDescent="0.25">
      <c r="B69" s="36"/>
      <c r="C69" s="34"/>
      <c r="D69" s="38"/>
      <c r="F69" s="34"/>
      <c r="G69" s="38"/>
    </row>
    <row r="70" spans="2:7" ht="18.95" customHeight="1" x14ac:dyDescent="0.25">
      <c r="B70" s="36"/>
      <c r="C70" s="34"/>
      <c r="D70" s="38"/>
      <c r="F70" s="34"/>
      <c r="G70" s="38"/>
    </row>
    <row r="71" spans="2:7" ht="18.95" customHeight="1" x14ac:dyDescent="0.25">
      <c r="B71" s="36"/>
      <c r="C71" s="34"/>
      <c r="D71" s="38"/>
      <c r="F71" s="34"/>
      <c r="G71" s="38"/>
    </row>
    <row r="72" spans="2:7" ht="18.95" customHeight="1" x14ac:dyDescent="0.25">
      <c r="B72" s="36"/>
      <c r="C72" s="34"/>
      <c r="D72" s="38"/>
      <c r="F72" s="34"/>
      <c r="G72" s="38"/>
    </row>
    <row r="73" spans="2:7" ht="18.95" customHeight="1" x14ac:dyDescent="0.25">
      <c r="B73" s="36"/>
      <c r="C73" s="34"/>
      <c r="D73" s="38"/>
      <c r="F73" s="34"/>
      <c r="G73" s="38"/>
    </row>
    <row r="74" spans="2:7" ht="18.95" customHeight="1" x14ac:dyDescent="0.25">
      <c r="B74" s="36"/>
      <c r="C74" s="34"/>
      <c r="D74" s="38"/>
      <c r="F74" s="34"/>
      <c r="G74" s="38"/>
    </row>
    <row r="75" spans="2:7" ht="18.95" customHeight="1" x14ac:dyDescent="0.25">
      <c r="B75" s="36"/>
      <c r="C75" s="34"/>
      <c r="D75" s="38"/>
      <c r="F75" s="34"/>
      <c r="G75" s="38"/>
    </row>
    <row r="76" spans="2:7" ht="18.95" customHeight="1" x14ac:dyDescent="0.25">
      <c r="B76" s="36"/>
      <c r="C76" s="34"/>
      <c r="D76" s="38"/>
      <c r="F76" s="34"/>
      <c r="G76" s="38"/>
    </row>
    <row r="77" spans="2:7" ht="18.95" customHeight="1" x14ac:dyDescent="0.25">
      <c r="B77" s="36"/>
      <c r="C77" s="34"/>
      <c r="D77" s="38"/>
      <c r="F77" s="34"/>
      <c r="G77" s="38"/>
    </row>
    <row r="78" spans="2:7" ht="18.95" customHeight="1" x14ac:dyDescent="0.25">
      <c r="B78" s="36"/>
      <c r="C78" s="34"/>
      <c r="D78" s="38"/>
      <c r="F78" s="34"/>
      <c r="G78" s="38"/>
    </row>
    <row r="79" spans="2:7" ht="18.95" customHeight="1" x14ac:dyDescent="0.25">
      <c r="B79" s="36"/>
      <c r="C79" s="34"/>
      <c r="D79" s="38"/>
      <c r="F79" s="34"/>
      <c r="G79" s="38"/>
    </row>
    <row r="80" spans="2:7" ht="18.95" customHeight="1" x14ac:dyDescent="0.25">
      <c r="B80" s="36"/>
      <c r="C80" s="34"/>
      <c r="D80" s="38"/>
      <c r="F80" s="34"/>
      <c r="G80" s="38"/>
    </row>
    <row r="81" spans="2:7" ht="18.95" customHeight="1" x14ac:dyDescent="0.25">
      <c r="B81" s="36"/>
      <c r="C81" s="34"/>
      <c r="D81" s="38"/>
      <c r="F81" s="34"/>
      <c r="G81" s="38"/>
    </row>
    <row r="82" spans="2:7" ht="18.95" customHeight="1" x14ac:dyDescent="0.25">
      <c r="B82" s="36"/>
      <c r="C82" s="34"/>
      <c r="D82" s="38"/>
      <c r="F82" s="34"/>
      <c r="G82" s="38"/>
    </row>
    <row r="83" spans="2:7" ht="18.95" customHeight="1" x14ac:dyDescent="0.25">
      <c r="B83" s="36"/>
      <c r="C83" s="34"/>
      <c r="D83" s="38"/>
      <c r="F83" s="34"/>
      <c r="G83" s="38"/>
    </row>
    <row r="84" spans="2:7" ht="18.95" customHeight="1" x14ac:dyDescent="0.25">
      <c r="B84" s="36"/>
      <c r="C84" s="34"/>
      <c r="D84" s="38"/>
      <c r="F84" s="34"/>
      <c r="G84" s="38"/>
    </row>
    <row r="85" spans="2:7" ht="18.95" customHeight="1" x14ac:dyDescent="0.25">
      <c r="B85" s="36"/>
      <c r="C85" s="34"/>
      <c r="D85" s="38"/>
      <c r="F85" s="34"/>
      <c r="G85" s="38"/>
    </row>
    <row r="86" spans="2:7" ht="18.95" customHeight="1" x14ac:dyDescent="0.25">
      <c r="B86" s="36"/>
      <c r="C86" s="34"/>
      <c r="D86" s="38"/>
      <c r="F86" s="34"/>
      <c r="G86" s="38"/>
    </row>
    <row r="87" spans="2:7" ht="18.95" customHeight="1" x14ac:dyDescent="0.25">
      <c r="B87" s="36"/>
      <c r="C87" s="34"/>
      <c r="D87" s="38"/>
      <c r="F87" s="34"/>
      <c r="G87" s="38"/>
    </row>
    <row r="88" spans="2:7" ht="18.95" customHeight="1" x14ac:dyDescent="0.25">
      <c r="B88" s="36"/>
      <c r="C88" s="34"/>
      <c r="D88" s="38"/>
      <c r="F88" s="34"/>
      <c r="G88" s="38"/>
    </row>
    <row r="89" spans="2:7" ht="18.95" customHeight="1" x14ac:dyDescent="0.25">
      <c r="B89" s="36"/>
      <c r="C89" s="34"/>
      <c r="D89" s="38"/>
      <c r="F89" s="34"/>
      <c r="G89" s="38"/>
    </row>
    <row r="90" spans="2:7" ht="18.95" customHeight="1" x14ac:dyDescent="0.25">
      <c r="B90" s="36"/>
      <c r="C90" s="34"/>
      <c r="D90" s="38"/>
      <c r="F90" s="34"/>
      <c r="G90" s="38"/>
    </row>
    <row r="91" spans="2:7" ht="18.95" customHeight="1" x14ac:dyDescent="0.25">
      <c r="B91" s="36"/>
      <c r="C91" s="34"/>
      <c r="D91" s="38"/>
      <c r="F91" s="34"/>
      <c r="G91" s="38"/>
    </row>
    <row r="92" spans="2:7" ht="18.95" customHeight="1" x14ac:dyDescent="0.25">
      <c r="B92" s="36"/>
      <c r="C92" s="34"/>
      <c r="D92" s="38"/>
      <c r="F92" s="34"/>
      <c r="G92" s="38"/>
    </row>
    <row r="93" spans="2:7" ht="18.95" customHeight="1" x14ac:dyDescent="0.25">
      <c r="B93" s="36"/>
      <c r="C93" s="34"/>
      <c r="D93" s="38"/>
      <c r="F93" s="34"/>
      <c r="G93" s="38"/>
    </row>
    <row r="94" spans="2:7" ht="18.95" customHeight="1" x14ac:dyDescent="0.25">
      <c r="B94" s="36"/>
      <c r="C94" s="34"/>
      <c r="D94" s="38"/>
      <c r="F94" s="34"/>
      <c r="G94" s="38"/>
    </row>
    <row r="95" spans="2:7" ht="18.95" customHeight="1" x14ac:dyDescent="0.25">
      <c r="B95" s="36"/>
      <c r="C95" s="34"/>
      <c r="D95" s="38"/>
      <c r="F95" s="34"/>
      <c r="G95" s="38"/>
    </row>
    <row r="96" spans="2:7" ht="18.95" customHeight="1" x14ac:dyDescent="0.25">
      <c r="B96" s="36"/>
      <c r="C96" s="34"/>
      <c r="D96" s="38"/>
      <c r="F96" s="34"/>
      <c r="G96" s="38"/>
    </row>
    <row r="97" spans="2:7" ht="18.95" customHeight="1" x14ac:dyDescent="0.25">
      <c r="B97" s="36"/>
      <c r="C97" s="34"/>
      <c r="D97" s="38"/>
      <c r="F97" s="34"/>
      <c r="G97" s="38"/>
    </row>
    <row r="98" spans="2:7" ht="18.95" customHeight="1" x14ac:dyDescent="0.25">
      <c r="B98" s="36"/>
      <c r="C98" s="34"/>
      <c r="D98" s="38"/>
      <c r="F98" s="34"/>
      <c r="G98" s="38"/>
    </row>
    <row r="99" spans="2:7" ht="18.95" customHeight="1" x14ac:dyDescent="0.25">
      <c r="B99" s="36"/>
      <c r="C99" s="34"/>
      <c r="D99" s="38"/>
      <c r="F99" s="34"/>
      <c r="G99" s="38"/>
    </row>
    <row r="100" spans="2:7" ht="18.95" customHeight="1" x14ac:dyDescent="0.25">
      <c r="B100" s="36"/>
      <c r="C100" s="34"/>
      <c r="D100" s="38"/>
      <c r="F100" s="34"/>
      <c r="G100" s="38"/>
    </row>
    <row r="101" spans="2:7" ht="18.95" customHeight="1" x14ac:dyDescent="0.25">
      <c r="B101" s="36"/>
      <c r="C101" s="34"/>
      <c r="D101" s="38"/>
      <c r="F101" s="34"/>
      <c r="G101" s="38"/>
    </row>
    <row r="102" spans="2:7" ht="18.95" customHeight="1" x14ac:dyDescent="0.25">
      <c r="B102" s="36"/>
      <c r="C102" s="34"/>
      <c r="D102" s="38"/>
      <c r="F102" s="34"/>
      <c r="G102" s="38"/>
    </row>
    <row r="103" spans="2:7" ht="18.95" customHeight="1" x14ac:dyDescent="0.25">
      <c r="B103" s="36"/>
      <c r="C103" s="34"/>
      <c r="D103" s="38"/>
      <c r="F103" s="34"/>
      <c r="G103" s="38"/>
    </row>
    <row r="104" spans="2:7" ht="18.95" customHeight="1" x14ac:dyDescent="0.25">
      <c r="B104" s="36"/>
      <c r="C104" s="34"/>
      <c r="D104" s="38"/>
      <c r="F104" s="34"/>
      <c r="G104" s="38"/>
    </row>
    <row r="105" spans="2:7" ht="18.95" customHeight="1" x14ac:dyDescent="0.25">
      <c r="B105" s="36"/>
      <c r="C105" s="34"/>
      <c r="D105" s="38"/>
      <c r="F105" s="34"/>
      <c r="G105" s="38"/>
    </row>
    <row r="106" spans="2:7" ht="18.95" customHeight="1" x14ac:dyDescent="0.25">
      <c r="B106" s="36"/>
      <c r="C106" s="34"/>
      <c r="D106" s="38"/>
      <c r="F106" s="34"/>
      <c r="G106" s="38"/>
    </row>
    <row r="107" spans="2:7" ht="18.95" customHeight="1" x14ac:dyDescent="0.25">
      <c r="B107" s="36"/>
      <c r="C107" s="34"/>
      <c r="D107" s="38"/>
      <c r="F107" s="34"/>
      <c r="G107" s="38"/>
    </row>
    <row r="108" spans="2:7" ht="18.95" customHeight="1" x14ac:dyDescent="0.25">
      <c r="B108" s="36"/>
      <c r="C108" s="34"/>
      <c r="D108" s="38"/>
      <c r="F108" s="34"/>
      <c r="G108" s="38"/>
    </row>
    <row r="109" spans="2:7" ht="18.95" customHeight="1" x14ac:dyDescent="0.25">
      <c r="B109" s="36"/>
      <c r="C109" s="34"/>
      <c r="D109" s="38"/>
      <c r="F109" s="34"/>
      <c r="G109" s="38"/>
    </row>
    <row r="110" spans="2:7" ht="18.95" customHeight="1" x14ac:dyDescent="0.25">
      <c r="B110" s="36"/>
      <c r="C110" s="34"/>
      <c r="D110" s="38"/>
      <c r="F110" s="34"/>
      <c r="G110" s="38"/>
    </row>
    <row r="111" spans="2:7" ht="18.95" customHeight="1" x14ac:dyDescent="0.25">
      <c r="B111" s="36"/>
      <c r="C111" s="34"/>
      <c r="D111" s="38"/>
      <c r="F111" s="34"/>
      <c r="G111" s="38"/>
    </row>
    <row r="112" spans="2:7" ht="18.95" customHeight="1" x14ac:dyDescent="0.25">
      <c r="B112" s="36"/>
      <c r="C112" s="34"/>
      <c r="D112" s="38"/>
      <c r="F112" s="34"/>
      <c r="G112" s="38"/>
    </row>
    <row r="113" spans="2:7" ht="18.95" customHeight="1" x14ac:dyDescent="0.25">
      <c r="B113" s="36"/>
      <c r="C113" s="34"/>
      <c r="D113" s="38"/>
      <c r="F113" s="34"/>
      <c r="G113" s="38"/>
    </row>
  </sheetData>
  <mergeCells count="3">
    <mergeCell ref="B7:D7"/>
    <mergeCell ref="F7:G7"/>
    <mergeCell ref="I7:J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A4F3E-538C-47CA-988D-0E24F2E53AC0}">
  <dimension ref="B5:T113"/>
  <sheetViews>
    <sheetView topLeftCell="A85" workbookViewId="0">
      <selection activeCell="C9" sqref="C9:C113"/>
    </sheetView>
  </sheetViews>
  <sheetFormatPr defaultRowHeight="18.95" customHeight="1" x14ac:dyDescent="0.25"/>
  <cols>
    <col min="1" max="1" width="1.85546875" customWidth="1"/>
    <col min="2" max="2" width="10.7109375" bestFit="1" customWidth="1"/>
    <col min="3" max="8" width="12.7109375" customWidth="1"/>
    <col min="9" max="9" width="20.140625" customWidth="1"/>
    <col min="10" max="13" width="12.7109375" customWidth="1"/>
    <col min="14" max="14" width="14.5703125" bestFit="1" customWidth="1"/>
    <col min="15" max="15" width="12.7109375" customWidth="1"/>
    <col min="17" max="17" width="13.42578125" bestFit="1" customWidth="1"/>
    <col min="18" max="18" width="11" bestFit="1" customWidth="1"/>
    <col min="19" max="19" width="12.42578125" bestFit="1" customWidth="1"/>
    <col min="20" max="20" width="12.5703125" bestFit="1" customWidth="1"/>
  </cols>
  <sheetData>
    <row r="5" spans="2:13" ht="18.95" customHeight="1" x14ac:dyDescent="0.25">
      <c r="B5" s="31" t="s">
        <v>54</v>
      </c>
    </row>
    <row r="7" spans="2:13" ht="18.95" customHeight="1" x14ac:dyDescent="0.25">
      <c r="B7" s="140" t="s">
        <v>55</v>
      </c>
      <c r="C7" s="140"/>
      <c r="D7" s="140"/>
      <c r="F7" s="140" t="s">
        <v>59</v>
      </c>
      <c r="G7" s="140"/>
      <c r="I7" s="140" t="s">
        <v>60</v>
      </c>
      <c r="J7" s="140"/>
    </row>
    <row r="9" spans="2:13" ht="18.95" customHeight="1" x14ac:dyDescent="0.25">
      <c r="B9" s="33" t="s">
        <v>56</v>
      </c>
      <c r="C9" s="33" t="s">
        <v>57</v>
      </c>
      <c r="D9" s="33" t="s">
        <v>58</v>
      </c>
      <c r="F9" s="33" t="s">
        <v>57</v>
      </c>
      <c r="G9" s="33" t="s">
        <v>58</v>
      </c>
      <c r="I9" s="31" t="s">
        <v>153</v>
      </c>
      <c r="J9" s="20">
        <f>M10</f>
        <v>1.6753738602861259</v>
      </c>
    </row>
    <row r="10" spans="2:13" ht="18.95" customHeight="1" x14ac:dyDescent="0.25">
      <c r="B10" s="36" t="s">
        <v>61</v>
      </c>
      <c r="C10">
        <v>66.41</v>
      </c>
      <c r="F10" s="34">
        <v>25320.65</v>
      </c>
      <c r="I10" t="s">
        <v>154</v>
      </c>
      <c r="J10" s="22">
        <v>0.75</v>
      </c>
      <c r="L10" t="s">
        <v>124</v>
      </c>
      <c r="M10" s="20">
        <f>SLOPE(D11:D113,G11:G113)</f>
        <v>1.6753738602861259</v>
      </c>
    </row>
    <row r="11" spans="2:13" ht="18.95" customHeight="1" x14ac:dyDescent="0.25">
      <c r="B11" s="36" t="s">
        <v>62</v>
      </c>
      <c r="C11">
        <v>61.64</v>
      </c>
      <c r="D11" s="38">
        <f>(C11/C10)-1</f>
        <v>-7.182653214877277E-2</v>
      </c>
      <c r="F11" s="34">
        <v>25048.65</v>
      </c>
      <c r="G11" s="38">
        <f>(F11/F10)-1</f>
        <v>-1.0742220282654702E-2</v>
      </c>
      <c r="L11" t="s">
        <v>125</v>
      </c>
      <c r="M11" s="20">
        <f>_xlfn.COVARIANCE.S(D10:D113,G10:G113)/_xlfn.VAR.S(G10:G113)</f>
        <v>1.6753738602861263</v>
      </c>
    </row>
    <row r="12" spans="2:13" ht="18.95" customHeight="1" x14ac:dyDescent="0.25">
      <c r="B12" s="36">
        <v>46327</v>
      </c>
      <c r="C12">
        <v>71.3</v>
      </c>
      <c r="D12" s="38">
        <f t="shared" ref="D12:D75" si="0">(C12/C11)-1</f>
        <v>0.15671641791044766</v>
      </c>
      <c r="F12" s="34">
        <v>25694.35</v>
      </c>
      <c r="G12" s="38">
        <f t="shared" ref="G12:G75" si="1">(F12/F11)-1</f>
        <v>2.5777836330500792E-2</v>
      </c>
      <c r="I12" t="s">
        <v>156</v>
      </c>
      <c r="J12">
        <v>1</v>
      </c>
    </row>
    <row r="13" spans="2:13" ht="18.95" customHeight="1" x14ac:dyDescent="0.25">
      <c r="B13" s="36">
        <v>46113</v>
      </c>
      <c r="C13">
        <v>74.540000000000006</v>
      </c>
      <c r="D13" s="38">
        <f t="shared" si="0"/>
        <v>4.5441795231416782E-2</v>
      </c>
      <c r="F13" s="34">
        <v>25683.3</v>
      </c>
      <c r="G13" s="38">
        <f t="shared" si="1"/>
        <v>-4.3005563479903142E-4</v>
      </c>
      <c r="I13" t="s">
        <v>155</v>
      </c>
      <c r="J13" s="22">
        <v>0.25</v>
      </c>
      <c r="L13" t="s">
        <v>127</v>
      </c>
      <c r="M13" s="20">
        <f>M32</f>
        <v>1.6753738602861254</v>
      </c>
    </row>
    <row r="14" spans="2:13" ht="18.95" customHeight="1" x14ac:dyDescent="0.25">
      <c r="B14" s="36" t="s">
        <v>63</v>
      </c>
      <c r="C14">
        <v>78.16</v>
      </c>
      <c r="D14" s="38">
        <f t="shared" si="0"/>
        <v>4.8564529111886134E-2</v>
      </c>
      <c r="F14" s="34">
        <v>26328.55</v>
      </c>
      <c r="G14" s="38">
        <f t="shared" si="1"/>
        <v>2.5123329167201947E-2</v>
      </c>
    </row>
    <row r="15" spans="2:13" ht="18.95" customHeight="1" x14ac:dyDescent="0.25">
      <c r="B15" s="36" t="s">
        <v>64</v>
      </c>
      <c r="C15">
        <v>76.78</v>
      </c>
      <c r="D15" s="38">
        <f t="shared" si="0"/>
        <v>-1.7656090071647812E-2</v>
      </c>
      <c r="F15" s="34">
        <v>26042.3</v>
      </c>
      <c r="G15" s="38">
        <f t="shared" si="1"/>
        <v>-1.0872228056615363E-2</v>
      </c>
      <c r="I15" s="43" t="s">
        <v>157</v>
      </c>
      <c r="J15" s="8">
        <f>(J9*J10)+(J12*J13)</f>
        <v>1.5065303952145945</v>
      </c>
      <c r="L15" t="s">
        <v>128</v>
      </c>
    </row>
    <row r="16" spans="2:13" ht="18.95" customHeight="1" thickBot="1" x14ac:dyDescent="0.3">
      <c r="B16" s="36" t="s">
        <v>65</v>
      </c>
      <c r="C16">
        <v>76.819999999999993</v>
      </c>
      <c r="D16" s="38">
        <f t="shared" si="0"/>
        <v>5.2096900234421817E-4</v>
      </c>
      <c r="F16" s="34">
        <v>25966.400000000001</v>
      </c>
      <c r="G16" s="38">
        <f t="shared" si="1"/>
        <v>-2.9144891196245526E-3</v>
      </c>
    </row>
    <row r="17" spans="2:20" ht="18.95" customHeight="1" x14ac:dyDescent="0.25">
      <c r="B17" s="36">
        <v>45850</v>
      </c>
      <c r="C17">
        <v>77.67</v>
      </c>
      <c r="D17" s="38">
        <f t="shared" si="0"/>
        <v>1.1064826868003141E-2</v>
      </c>
      <c r="F17" s="34">
        <v>26046.95</v>
      </c>
      <c r="G17" s="38">
        <f t="shared" si="1"/>
        <v>3.10208577238269E-3</v>
      </c>
      <c r="L17" s="41" t="s">
        <v>129</v>
      </c>
      <c r="M17" s="41"/>
    </row>
    <row r="18" spans="2:20" ht="18.95" customHeight="1" x14ac:dyDescent="0.25">
      <c r="B18" s="36" t="s">
        <v>66</v>
      </c>
      <c r="C18">
        <v>77.41</v>
      </c>
      <c r="D18" s="38">
        <f t="shared" si="0"/>
        <v>-3.3474958156303192E-3</v>
      </c>
      <c r="F18" s="34">
        <v>26186.45</v>
      </c>
      <c r="G18" s="38">
        <f t="shared" si="1"/>
        <v>5.3557134328587885E-3</v>
      </c>
      <c r="L18" t="s">
        <v>130</v>
      </c>
      <c r="M18">
        <v>0.55134824205201349</v>
      </c>
    </row>
    <row r="19" spans="2:20" ht="18.95" customHeight="1" x14ac:dyDescent="0.25">
      <c r="B19" s="36" t="s">
        <v>67</v>
      </c>
      <c r="C19">
        <v>78.150000000000006</v>
      </c>
      <c r="D19" s="38">
        <f t="shared" si="0"/>
        <v>9.5594884381864365E-3</v>
      </c>
      <c r="F19" s="34">
        <v>26202.95</v>
      </c>
      <c r="G19" s="38">
        <f t="shared" si="1"/>
        <v>6.3009686307236024E-4</v>
      </c>
      <c r="L19" t="s">
        <v>131</v>
      </c>
      <c r="M19">
        <v>0.30398488401384571</v>
      </c>
    </row>
    <row r="20" spans="2:20" ht="18.95" customHeight="1" x14ac:dyDescent="0.25">
      <c r="B20" s="36" t="s">
        <v>68</v>
      </c>
      <c r="C20">
        <v>76.709999999999994</v>
      </c>
      <c r="D20" s="38">
        <f t="shared" si="0"/>
        <v>-1.842610364683317E-2</v>
      </c>
      <c r="F20" s="34">
        <v>26068.15</v>
      </c>
      <c r="G20" s="38">
        <f t="shared" si="1"/>
        <v>-5.144458925426254E-3</v>
      </c>
      <c r="L20" t="s">
        <v>132</v>
      </c>
      <c r="M20">
        <v>0.29709364524170556</v>
      </c>
    </row>
    <row r="21" spans="2:20" ht="18.95" customHeight="1" x14ac:dyDescent="0.25">
      <c r="B21" s="36">
        <v>45911</v>
      </c>
      <c r="C21">
        <v>78.44</v>
      </c>
      <c r="D21" s="38">
        <f t="shared" si="0"/>
        <v>2.2552470342849684E-2</v>
      </c>
      <c r="F21" s="34">
        <v>25910.05</v>
      </c>
      <c r="G21" s="38">
        <f t="shared" si="1"/>
        <v>-6.0648722674989664E-3</v>
      </c>
      <c r="L21" t="s">
        <v>133</v>
      </c>
      <c r="M21">
        <v>4.2907719097611582E-2</v>
      </c>
    </row>
    <row r="22" spans="2:20" ht="18.95" customHeight="1" thickBot="1" x14ac:dyDescent="0.3">
      <c r="B22" s="36">
        <v>45699</v>
      </c>
      <c r="C22">
        <v>79.7</v>
      </c>
      <c r="D22" s="38">
        <f t="shared" si="0"/>
        <v>1.6063233044365077E-2</v>
      </c>
      <c r="F22" s="34">
        <v>25492.3</v>
      </c>
      <c r="G22" s="38">
        <f t="shared" si="1"/>
        <v>-1.6123087373432266E-2</v>
      </c>
      <c r="L22" s="39" t="s">
        <v>134</v>
      </c>
      <c r="M22" s="39">
        <v>103</v>
      </c>
    </row>
    <row r="23" spans="2:20" ht="18.95" customHeight="1" x14ac:dyDescent="0.25">
      <c r="B23" s="36" t="s">
        <v>69</v>
      </c>
      <c r="C23">
        <v>81.64</v>
      </c>
      <c r="D23" s="38">
        <f t="shared" si="0"/>
        <v>2.4341279799247051E-2</v>
      </c>
      <c r="F23" s="34">
        <v>25722.1</v>
      </c>
      <c r="G23" s="38">
        <f t="shared" si="1"/>
        <v>9.0144867273647122E-3</v>
      </c>
    </row>
    <row r="24" spans="2:20" ht="18.95" customHeight="1" thickBot="1" x14ac:dyDescent="0.3">
      <c r="B24" s="36" t="s">
        <v>70</v>
      </c>
      <c r="C24">
        <v>81.93</v>
      </c>
      <c r="D24" s="38">
        <f t="shared" si="0"/>
        <v>3.5521803037728006E-3</v>
      </c>
      <c r="F24" s="34">
        <v>25795.15</v>
      </c>
      <c r="G24" s="38">
        <f t="shared" si="1"/>
        <v>2.839970297915162E-3</v>
      </c>
      <c r="L24" t="s">
        <v>135</v>
      </c>
    </row>
    <row r="25" spans="2:20" ht="18.95" customHeight="1" x14ac:dyDescent="0.25">
      <c r="B25" s="36">
        <v>46001</v>
      </c>
      <c r="C25">
        <v>82.28</v>
      </c>
      <c r="D25" s="38">
        <f t="shared" si="0"/>
        <v>4.2719394605150729E-3</v>
      </c>
      <c r="F25" s="34">
        <v>25709.85</v>
      </c>
      <c r="G25" s="38">
        <f t="shared" si="1"/>
        <v>-3.3068231818773608E-3</v>
      </c>
      <c r="L25" s="40"/>
      <c r="M25" s="40" t="s">
        <v>140</v>
      </c>
      <c r="N25" s="40" t="s">
        <v>141</v>
      </c>
      <c r="O25" s="40" t="s">
        <v>142</v>
      </c>
      <c r="P25" s="40" t="s">
        <v>143</v>
      </c>
      <c r="Q25" s="40" t="s">
        <v>144</v>
      </c>
    </row>
    <row r="26" spans="2:20" ht="18.95" customHeight="1" x14ac:dyDescent="0.25">
      <c r="B26" s="36">
        <v>45787</v>
      </c>
      <c r="C26">
        <v>83.19</v>
      </c>
      <c r="D26" s="38">
        <f t="shared" si="0"/>
        <v>1.1059795819154061E-2</v>
      </c>
      <c r="F26" s="34">
        <v>25285.35</v>
      </c>
      <c r="G26" s="38">
        <f t="shared" si="1"/>
        <v>-1.6511181512144146E-2</v>
      </c>
      <c r="L26" t="s">
        <v>136</v>
      </c>
      <c r="M26">
        <v>1</v>
      </c>
      <c r="N26">
        <v>8.1212998963090421E-2</v>
      </c>
      <c r="O26">
        <v>8.1212998963090421E-2</v>
      </c>
      <c r="P26">
        <v>44.11179093703646</v>
      </c>
      <c r="Q26">
        <v>1.586146476659458E-9</v>
      </c>
    </row>
    <row r="27" spans="2:20" ht="18.95" customHeight="1" x14ac:dyDescent="0.25">
      <c r="B27" s="36" t="s">
        <v>71</v>
      </c>
      <c r="C27">
        <v>87.99</v>
      </c>
      <c r="D27" s="38">
        <f t="shared" si="0"/>
        <v>5.7699242697439646E-2</v>
      </c>
      <c r="F27" s="34">
        <v>24894.25</v>
      </c>
      <c r="G27" s="38">
        <f t="shared" si="1"/>
        <v>-1.5467454474626607E-2</v>
      </c>
      <c r="L27" t="s">
        <v>137</v>
      </c>
      <c r="M27">
        <v>101</v>
      </c>
      <c r="N27">
        <v>0.18594830817411373</v>
      </c>
      <c r="O27">
        <v>1.841072358159542E-3</v>
      </c>
    </row>
    <row r="28" spans="2:20" ht="18.95" customHeight="1" thickBot="1" x14ac:dyDescent="0.3">
      <c r="B28" s="36" t="s">
        <v>72</v>
      </c>
      <c r="C28">
        <v>84.9</v>
      </c>
      <c r="D28" s="38">
        <f t="shared" si="0"/>
        <v>-3.5117627003068419E-2</v>
      </c>
      <c r="F28" s="34">
        <v>24654.7</v>
      </c>
      <c r="G28" s="38">
        <f t="shared" si="1"/>
        <v>-9.6227040380810758E-3</v>
      </c>
      <c r="L28" s="39" t="s">
        <v>138</v>
      </c>
      <c r="M28" s="39">
        <v>102</v>
      </c>
      <c r="N28" s="39">
        <v>0.26716130713720415</v>
      </c>
      <c r="O28" s="39"/>
      <c r="P28" s="39"/>
      <c r="Q28" s="39"/>
    </row>
    <row r="29" spans="2:20" ht="18.95" customHeight="1" thickBot="1" x14ac:dyDescent="0.3">
      <c r="B29" s="36" t="s">
        <v>73</v>
      </c>
      <c r="C29">
        <v>92.11</v>
      </c>
      <c r="D29" s="38">
        <f t="shared" si="0"/>
        <v>8.4923439340400364E-2</v>
      </c>
      <c r="F29" s="34">
        <v>25327.05</v>
      </c>
      <c r="G29" s="38">
        <f t="shared" si="1"/>
        <v>2.7270662388915623E-2</v>
      </c>
    </row>
    <row r="30" spans="2:20" ht="18.95" customHeight="1" x14ac:dyDescent="0.25">
      <c r="B30" s="36">
        <v>45847</v>
      </c>
      <c r="C30">
        <v>88.38</v>
      </c>
      <c r="D30" s="38">
        <f t="shared" si="0"/>
        <v>-4.0495060254044146E-2</v>
      </c>
      <c r="F30" s="34">
        <v>25114</v>
      </c>
      <c r="G30" s="38">
        <f t="shared" si="1"/>
        <v>-8.4119548072120187E-3</v>
      </c>
      <c r="L30" s="40"/>
      <c r="M30" s="40" t="s">
        <v>145</v>
      </c>
      <c r="N30" s="40" t="s">
        <v>133</v>
      </c>
      <c r="O30" s="40" t="s">
        <v>146</v>
      </c>
      <c r="P30" s="40" t="s">
        <v>147</v>
      </c>
      <c r="Q30" s="40" t="s">
        <v>148</v>
      </c>
      <c r="R30" s="40" t="s">
        <v>149</v>
      </c>
      <c r="S30" s="40" t="s">
        <v>150</v>
      </c>
      <c r="T30" s="40" t="s">
        <v>151</v>
      </c>
    </row>
    <row r="31" spans="2:20" ht="18.95" customHeight="1" x14ac:dyDescent="0.25">
      <c r="B31" s="36" t="s">
        <v>74</v>
      </c>
      <c r="C31">
        <v>85.92</v>
      </c>
      <c r="D31" s="38">
        <f t="shared" si="0"/>
        <v>-2.7834351663272194E-2</v>
      </c>
      <c r="F31" s="34">
        <v>24741</v>
      </c>
      <c r="G31" s="38">
        <f t="shared" si="1"/>
        <v>-1.4852273632236956E-2</v>
      </c>
      <c r="L31" t="s">
        <v>139</v>
      </c>
      <c r="M31">
        <v>6.69273460669342E-3</v>
      </c>
      <c r="N31">
        <v>4.2409180069474355E-3</v>
      </c>
      <c r="O31">
        <v>1.5781334597201455</v>
      </c>
      <c r="P31">
        <v>0.11766195934666915</v>
      </c>
      <c r="Q31">
        <v>-1.7201059246808991E-3</v>
      </c>
      <c r="R31">
        <v>1.5105575138067739E-2</v>
      </c>
      <c r="S31">
        <v>-1.7201059246808991E-3</v>
      </c>
      <c r="T31">
        <v>1.5105575138067739E-2</v>
      </c>
    </row>
    <row r="32" spans="2:20" ht="18.95" customHeight="1" thickBot="1" x14ac:dyDescent="0.3">
      <c r="B32" s="36" t="s">
        <v>75</v>
      </c>
      <c r="C32">
        <v>77.349999999999994</v>
      </c>
      <c r="D32" s="38">
        <f t="shared" si="0"/>
        <v>-9.974394785847307E-2</v>
      </c>
      <c r="F32" s="34">
        <v>24426.85</v>
      </c>
      <c r="G32" s="38">
        <f t="shared" si="1"/>
        <v>-1.2697546582595698E-2</v>
      </c>
      <c r="L32" s="39" t="s">
        <v>152</v>
      </c>
      <c r="M32" s="39">
        <v>1.6753738602861254</v>
      </c>
      <c r="N32" s="39">
        <v>0.252251867373122</v>
      </c>
      <c r="O32" s="39">
        <v>6.6416707940876094</v>
      </c>
      <c r="P32" s="39">
        <v>1.5861464766595208E-9</v>
      </c>
      <c r="Q32" s="39">
        <v>1.174974010424618</v>
      </c>
      <c r="R32" s="39">
        <v>2.1757737101476327</v>
      </c>
      <c r="S32" s="39">
        <v>1.174974010424618</v>
      </c>
      <c r="T32" s="39">
        <v>2.1757737101476327</v>
      </c>
    </row>
    <row r="33" spans="2:7" ht="18.95" customHeight="1" x14ac:dyDescent="0.25">
      <c r="B33" s="36" t="s">
        <v>76</v>
      </c>
      <c r="C33">
        <v>81.25</v>
      </c>
      <c r="D33" s="38">
        <f t="shared" si="0"/>
        <v>5.0420168067226934E-2</v>
      </c>
      <c r="F33" s="34">
        <v>24870.1</v>
      </c>
      <c r="G33" s="38">
        <f t="shared" si="1"/>
        <v>1.8146015552557904E-2</v>
      </c>
    </row>
    <row r="34" spans="2:7" ht="18.95" customHeight="1" x14ac:dyDescent="0.25">
      <c r="B34" s="36">
        <v>45938</v>
      </c>
      <c r="C34">
        <v>75</v>
      </c>
      <c r="D34" s="38">
        <f t="shared" si="0"/>
        <v>-7.6923076923076872E-2</v>
      </c>
      <c r="F34" s="34">
        <v>24631.3</v>
      </c>
      <c r="G34" s="38">
        <f t="shared" si="1"/>
        <v>-9.6018914278591661E-3</v>
      </c>
    </row>
    <row r="35" spans="2:7" ht="18.95" customHeight="1" x14ac:dyDescent="0.25">
      <c r="B35" s="36">
        <v>45724</v>
      </c>
      <c r="C35">
        <v>74.19</v>
      </c>
      <c r="D35" s="38">
        <f t="shared" si="0"/>
        <v>-1.0800000000000032E-2</v>
      </c>
      <c r="F35" s="34">
        <v>24363.3</v>
      </c>
      <c r="G35" s="38">
        <f t="shared" si="1"/>
        <v>-1.0880465099284198E-2</v>
      </c>
    </row>
    <row r="36" spans="2:7" ht="18.95" customHeight="1" x14ac:dyDescent="0.25">
      <c r="B36" s="36" t="s">
        <v>77</v>
      </c>
      <c r="C36">
        <v>73.78</v>
      </c>
      <c r="D36" s="38">
        <f t="shared" si="0"/>
        <v>-5.5263512602776732E-3</v>
      </c>
      <c r="F36" s="34">
        <v>24565.35</v>
      </c>
      <c r="G36" s="38">
        <f t="shared" si="1"/>
        <v>8.2932115107559046E-3</v>
      </c>
    </row>
    <row r="37" spans="2:7" ht="18.95" customHeight="1" x14ac:dyDescent="0.25">
      <c r="B37" s="36" t="s">
        <v>78</v>
      </c>
      <c r="C37">
        <v>73.77</v>
      </c>
      <c r="D37" s="38">
        <f t="shared" si="0"/>
        <v>-1.3553808620225816E-4</v>
      </c>
      <c r="F37" s="34">
        <v>24837</v>
      </c>
      <c r="G37" s="38">
        <f t="shared" si="1"/>
        <v>1.1058258889045103E-2</v>
      </c>
    </row>
    <row r="38" spans="2:7" ht="18.95" customHeight="1" x14ac:dyDescent="0.25">
      <c r="B38" s="36" t="s">
        <v>79</v>
      </c>
      <c r="C38">
        <v>75.510000000000005</v>
      </c>
      <c r="D38" s="38">
        <f t="shared" si="0"/>
        <v>2.3586823912159494E-2</v>
      </c>
      <c r="F38" s="34">
        <v>24968.400000000001</v>
      </c>
      <c r="G38" s="38">
        <f t="shared" si="1"/>
        <v>5.2904940210170004E-3</v>
      </c>
    </row>
    <row r="39" spans="2:7" ht="18.95" customHeight="1" x14ac:dyDescent="0.25">
      <c r="B39" s="36">
        <v>45815</v>
      </c>
      <c r="C39">
        <v>76.849999999999994</v>
      </c>
      <c r="D39" s="38">
        <f t="shared" si="0"/>
        <v>1.7745993908091506E-2</v>
      </c>
      <c r="F39" s="34">
        <v>25149.85</v>
      </c>
      <c r="G39" s="38">
        <f t="shared" si="1"/>
        <v>7.267185722753533E-3</v>
      </c>
    </row>
    <row r="40" spans="2:7" ht="18.95" customHeight="1" x14ac:dyDescent="0.25">
      <c r="B40" s="36" t="s">
        <v>80</v>
      </c>
      <c r="C40">
        <v>78.33</v>
      </c>
      <c r="D40" s="38">
        <f t="shared" si="0"/>
        <v>1.9258295380611745E-2</v>
      </c>
      <c r="F40" s="34">
        <v>25461</v>
      </c>
      <c r="G40" s="38">
        <f t="shared" si="1"/>
        <v>1.2371843172026997E-2</v>
      </c>
    </row>
    <row r="41" spans="2:7" ht="18.95" customHeight="1" x14ac:dyDescent="0.25">
      <c r="B41" s="36" t="s">
        <v>81</v>
      </c>
      <c r="C41">
        <v>74.7</v>
      </c>
      <c r="D41" s="38">
        <f t="shared" si="0"/>
        <v>-4.6342397548831848E-2</v>
      </c>
      <c r="F41" s="34">
        <v>25637.8</v>
      </c>
      <c r="G41" s="38">
        <f t="shared" si="1"/>
        <v>6.9439534975059836E-3</v>
      </c>
    </row>
    <row r="42" spans="2:7" ht="18.95" customHeight="1" x14ac:dyDescent="0.25">
      <c r="B42" s="36" t="s">
        <v>82</v>
      </c>
      <c r="C42">
        <v>73.66</v>
      </c>
      <c r="D42" s="38">
        <f t="shared" si="0"/>
        <v>-1.3922356091030874E-2</v>
      </c>
      <c r="F42" s="34">
        <v>25112.400000000001</v>
      </c>
      <c r="G42" s="38">
        <f t="shared" si="1"/>
        <v>-2.0493178041797622E-2</v>
      </c>
    </row>
    <row r="43" spans="2:7" ht="18.95" customHeight="1" x14ac:dyDescent="0.25">
      <c r="B43" s="36">
        <v>45875</v>
      </c>
      <c r="C43">
        <v>73.8</v>
      </c>
      <c r="D43" s="38">
        <f t="shared" si="0"/>
        <v>1.9006244909041126E-3</v>
      </c>
      <c r="F43" s="34">
        <v>24718.6</v>
      </c>
      <c r="G43" s="38">
        <f t="shared" si="1"/>
        <v>-1.568149599401103E-2</v>
      </c>
    </row>
    <row r="44" spans="2:7" ht="18.95" customHeight="1" x14ac:dyDescent="0.25">
      <c r="B44" s="36">
        <v>45663</v>
      </c>
      <c r="C44">
        <v>77.77</v>
      </c>
      <c r="D44" s="38">
        <f t="shared" si="0"/>
        <v>5.3794037940379402E-2</v>
      </c>
      <c r="F44" s="34">
        <v>25003.05</v>
      </c>
      <c r="G44" s="38">
        <f t="shared" si="1"/>
        <v>1.1507528743537332E-2</v>
      </c>
    </row>
    <row r="45" spans="2:7" ht="18.95" customHeight="1" x14ac:dyDescent="0.25">
      <c r="B45" s="36" t="s">
        <v>83</v>
      </c>
      <c r="C45">
        <v>85.85</v>
      </c>
      <c r="D45" s="38">
        <f t="shared" si="0"/>
        <v>0.10389610389610393</v>
      </c>
      <c r="F45" s="34">
        <v>24750.7</v>
      </c>
      <c r="G45" s="38">
        <f t="shared" si="1"/>
        <v>-1.0092768682220754E-2</v>
      </c>
    </row>
    <row r="46" spans="2:7" ht="18.95" customHeight="1" x14ac:dyDescent="0.25">
      <c r="B46" s="36" t="s">
        <v>84</v>
      </c>
      <c r="C46">
        <v>88.55</v>
      </c>
      <c r="D46" s="38">
        <f t="shared" si="0"/>
        <v>3.1450203843913949E-2</v>
      </c>
      <c r="F46" s="34">
        <v>24853.15</v>
      </c>
      <c r="G46" s="38">
        <f t="shared" si="1"/>
        <v>4.139276868937003E-3</v>
      </c>
    </row>
    <row r="47" spans="2:7" ht="18.95" customHeight="1" x14ac:dyDescent="0.25">
      <c r="B47" s="36">
        <v>45966</v>
      </c>
      <c r="C47">
        <v>101.33</v>
      </c>
      <c r="D47" s="38">
        <f t="shared" si="0"/>
        <v>0.14432523997741398</v>
      </c>
      <c r="F47" s="34">
        <v>25019.8</v>
      </c>
      <c r="G47" s="38">
        <f t="shared" si="1"/>
        <v>6.705387445856914E-3</v>
      </c>
    </row>
    <row r="48" spans="2:7" ht="18.95" customHeight="1" x14ac:dyDescent="0.25">
      <c r="B48" s="36">
        <v>45752</v>
      </c>
      <c r="C48">
        <v>92.52</v>
      </c>
      <c r="D48" s="38">
        <f t="shared" si="0"/>
        <v>-8.6943649462153383E-2</v>
      </c>
      <c r="F48" s="34">
        <v>24008</v>
      </c>
      <c r="G48" s="38">
        <f t="shared" si="1"/>
        <v>-4.0439971542538311E-2</v>
      </c>
    </row>
    <row r="49" spans="2:7" ht="18.95" customHeight="1" x14ac:dyDescent="0.25">
      <c r="B49" s="36" t="s">
        <v>85</v>
      </c>
      <c r="C49">
        <v>93.35</v>
      </c>
      <c r="D49" s="38">
        <f t="shared" si="0"/>
        <v>8.9710332900994061E-3</v>
      </c>
      <c r="F49" s="34">
        <v>24346.7</v>
      </c>
      <c r="G49" s="38">
        <f t="shared" si="1"/>
        <v>1.4107797400866318E-2</v>
      </c>
    </row>
    <row r="50" spans="2:7" ht="18.95" customHeight="1" x14ac:dyDescent="0.25">
      <c r="B50" s="36" t="s">
        <v>86</v>
      </c>
      <c r="C50">
        <v>96.25</v>
      </c>
      <c r="D50" s="38">
        <f t="shared" si="0"/>
        <v>3.1065881092662062E-2</v>
      </c>
      <c r="F50" s="34">
        <v>24039.35</v>
      </c>
      <c r="G50" s="38">
        <f t="shared" si="1"/>
        <v>-1.2623887426222113E-2</v>
      </c>
    </row>
    <row r="51" spans="2:7" ht="18.95" customHeight="1" x14ac:dyDescent="0.25">
      <c r="B51" s="36" t="s">
        <v>87</v>
      </c>
      <c r="C51">
        <v>97</v>
      </c>
      <c r="D51" s="38">
        <f t="shared" si="0"/>
        <v>7.7922077922076838E-3</v>
      </c>
      <c r="F51" s="34">
        <v>23851.65</v>
      </c>
      <c r="G51" s="38">
        <f t="shared" si="1"/>
        <v>-7.8080314151587338E-3</v>
      </c>
    </row>
    <row r="52" spans="2:7" ht="18.95" customHeight="1" x14ac:dyDescent="0.25">
      <c r="B52" s="36">
        <v>45812</v>
      </c>
      <c r="C52">
        <v>92.55</v>
      </c>
      <c r="D52" s="38">
        <f t="shared" si="0"/>
        <v>-4.5876288659793873E-2</v>
      </c>
      <c r="F52" s="34">
        <v>22828.55</v>
      </c>
      <c r="G52" s="38">
        <f t="shared" si="1"/>
        <v>-4.2894307102443685E-2</v>
      </c>
    </row>
    <row r="53" spans="2:7" ht="18.95" customHeight="1" x14ac:dyDescent="0.25">
      <c r="B53" s="36" t="s">
        <v>88</v>
      </c>
      <c r="C53">
        <v>94.12</v>
      </c>
      <c r="D53" s="38">
        <f t="shared" si="0"/>
        <v>1.6963803349540951E-2</v>
      </c>
      <c r="F53" s="34">
        <v>22904.45</v>
      </c>
      <c r="G53" s="38">
        <f t="shared" si="1"/>
        <v>3.3247840971064591E-3</v>
      </c>
    </row>
    <row r="54" spans="2:7" ht="18.95" customHeight="1" x14ac:dyDescent="0.25">
      <c r="B54" s="36" t="s">
        <v>89</v>
      </c>
      <c r="C54">
        <v>93.38</v>
      </c>
      <c r="D54" s="38">
        <f t="shared" si="0"/>
        <v>-7.8623034424140092E-3</v>
      </c>
      <c r="F54" s="34">
        <v>23519.35</v>
      </c>
      <c r="G54" s="38">
        <f t="shared" si="1"/>
        <v>2.6846311524616251E-2</v>
      </c>
    </row>
    <row r="55" spans="2:7" ht="18.95" customHeight="1" x14ac:dyDescent="0.25">
      <c r="B55" s="36" t="s">
        <v>90</v>
      </c>
      <c r="C55">
        <v>92.28</v>
      </c>
      <c r="D55" s="38">
        <f t="shared" si="0"/>
        <v>-1.1779824373527426E-2</v>
      </c>
      <c r="F55" s="34">
        <v>23350.400000000001</v>
      </c>
      <c r="G55" s="38">
        <f t="shared" si="1"/>
        <v>-7.1834468214468927E-3</v>
      </c>
    </row>
    <row r="56" spans="2:7" ht="18.95" customHeight="1" x14ac:dyDescent="0.25">
      <c r="B56" s="36">
        <v>45903</v>
      </c>
      <c r="C56">
        <v>87.47</v>
      </c>
      <c r="D56" s="38">
        <f t="shared" si="0"/>
        <v>-5.2123970524490693E-2</v>
      </c>
      <c r="F56" s="34">
        <v>22397.200000000001</v>
      </c>
      <c r="G56" s="38">
        <f t="shared" si="1"/>
        <v>-4.0821570508428162E-2</v>
      </c>
    </row>
    <row r="57" spans="2:7" ht="18.95" customHeight="1" x14ac:dyDescent="0.25">
      <c r="B57" s="36">
        <v>45691</v>
      </c>
      <c r="C57">
        <v>88.29</v>
      </c>
      <c r="D57" s="38">
        <f t="shared" si="0"/>
        <v>9.374642734651939E-3</v>
      </c>
      <c r="F57" s="34">
        <v>22552.5</v>
      </c>
      <c r="G57" s="38">
        <f t="shared" si="1"/>
        <v>6.9339024520922443E-3</v>
      </c>
    </row>
    <row r="58" spans="2:7" ht="18.95" customHeight="1" x14ac:dyDescent="0.25">
      <c r="B58" s="36" t="s">
        <v>91</v>
      </c>
      <c r="C58">
        <v>88.23</v>
      </c>
      <c r="D58" s="38">
        <f t="shared" si="0"/>
        <v>-6.7957866123002919E-4</v>
      </c>
      <c r="F58" s="34">
        <v>22124.7</v>
      </c>
      <c r="G58" s="38">
        <f t="shared" si="1"/>
        <v>-1.8969072164948475E-2</v>
      </c>
    </row>
    <row r="59" spans="2:7" ht="18.95" customHeight="1" x14ac:dyDescent="0.25">
      <c r="B59" s="36" t="s">
        <v>92</v>
      </c>
      <c r="C59">
        <v>91.31</v>
      </c>
      <c r="D59" s="38">
        <f t="shared" si="0"/>
        <v>3.4908761192338211E-2</v>
      </c>
      <c r="F59" s="34">
        <v>22795.9</v>
      </c>
      <c r="G59" s="38">
        <f t="shared" si="1"/>
        <v>3.0337134514818231E-2</v>
      </c>
    </row>
    <row r="60" spans="2:7" ht="18.95" customHeight="1" x14ac:dyDescent="0.25">
      <c r="B60" s="36">
        <v>45902</v>
      </c>
      <c r="C60">
        <v>90.22</v>
      </c>
      <c r="D60" s="38">
        <f t="shared" si="0"/>
        <v>-1.1937356258898246E-2</v>
      </c>
      <c r="F60" s="34">
        <v>22929.25</v>
      </c>
      <c r="G60" s="38">
        <f t="shared" si="1"/>
        <v>5.8497361367613188E-3</v>
      </c>
    </row>
    <row r="61" spans="2:7" ht="18.95" customHeight="1" x14ac:dyDescent="0.25">
      <c r="B61" s="36">
        <v>45690</v>
      </c>
      <c r="C61">
        <v>100.42</v>
      </c>
      <c r="D61" s="38">
        <f t="shared" si="0"/>
        <v>0.11305697184659724</v>
      </c>
      <c r="F61" s="34">
        <v>23559.95</v>
      </c>
      <c r="G61" s="38">
        <f t="shared" si="1"/>
        <v>2.7506351058146361E-2</v>
      </c>
    </row>
    <row r="62" spans="2:7" ht="18.95" customHeight="1" x14ac:dyDescent="0.25">
      <c r="B62" s="36" t="s">
        <v>93</v>
      </c>
      <c r="C62">
        <v>99.79</v>
      </c>
      <c r="D62" s="38">
        <f t="shared" si="0"/>
        <v>-6.273650667197761E-3</v>
      </c>
      <c r="F62" s="34">
        <v>23508.400000000001</v>
      </c>
      <c r="G62" s="38">
        <f t="shared" si="1"/>
        <v>-2.188035203809835E-3</v>
      </c>
    </row>
    <row r="63" spans="2:7" ht="18.95" customHeight="1" x14ac:dyDescent="0.25">
      <c r="B63" s="36" t="s">
        <v>94</v>
      </c>
      <c r="C63">
        <v>99.07</v>
      </c>
      <c r="D63" s="38">
        <f t="shared" si="0"/>
        <v>-7.2151518188195984E-3</v>
      </c>
      <c r="F63" s="34">
        <v>23092.2</v>
      </c>
      <c r="G63" s="38">
        <f t="shared" si="1"/>
        <v>-1.7704309948784247E-2</v>
      </c>
    </row>
    <row r="64" spans="2:7" ht="18.95" customHeight="1" x14ac:dyDescent="0.25">
      <c r="B64" s="36">
        <v>45992</v>
      </c>
      <c r="C64">
        <v>100.1</v>
      </c>
      <c r="D64" s="38">
        <f t="shared" si="0"/>
        <v>1.0396689209649645E-2</v>
      </c>
      <c r="F64" s="34">
        <v>23203.200000000001</v>
      </c>
      <c r="G64" s="38">
        <f t="shared" si="1"/>
        <v>4.8068178865590117E-3</v>
      </c>
    </row>
    <row r="65" spans="2:7" ht="18.95" customHeight="1" x14ac:dyDescent="0.25">
      <c r="B65" s="36">
        <v>45778</v>
      </c>
      <c r="C65">
        <v>99.88</v>
      </c>
      <c r="D65" s="38">
        <f t="shared" si="0"/>
        <v>-2.19780219780219E-3</v>
      </c>
      <c r="F65" s="34">
        <v>23431.5</v>
      </c>
      <c r="G65" s="38">
        <f t="shared" si="1"/>
        <v>9.8391601158460684E-3</v>
      </c>
    </row>
    <row r="66" spans="2:7" ht="18.95" customHeight="1" x14ac:dyDescent="0.25">
      <c r="B66" s="36" t="s">
        <v>95</v>
      </c>
      <c r="C66">
        <v>102.3</v>
      </c>
      <c r="D66" s="38">
        <f t="shared" si="0"/>
        <v>2.4229074889867919E-2</v>
      </c>
      <c r="F66" s="34">
        <v>24004.75</v>
      </c>
      <c r="G66" s="38">
        <f t="shared" si="1"/>
        <v>2.4464929688666981E-2</v>
      </c>
    </row>
    <row r="67" spans="2:7" ht="18.95" customHeight="1" x14ac:dyDescent="0.25">
      <c r="B67" s="36" t="s">
        <v>96</v>
      </c>
      <c r="C67">
        <v>102.76</v>
      </c>
      <c r="D67" s="38">
        <f t="shared" si="0"/>
        <v>4.4965786901272065E-3</v>
      </c>
      <c r="F67" s="34">
        <v>23813.4</v>
      </c>
      <c r="G67" s="38">
        <f t="shared" si="1"/>
        <v>-7.9713390058216982E-3</v>
      </c>
    </row>
    <row r="68" spans="2:7" ht="18.95" customHeight="1" x14ac:dyDescent="0.25">
      <c r="B68" s="36" t="s">
        <v>97</v>
      </c>
      <c r="C68">
        <v>102.83</v>
      </c>
      <c r="D68" s="38">
        <f t="shared" si="0"/>
        <v>6.8119891008167066E-4</v>
      </c>
      <c r="F68" s="34">
        <v>23587.5</v>
      </c>
      <c r="G68" s="38">
        <f t="shared" si="1"/>
        <v>-9.4862556375822082E-3</v>
      </c>
    </row>
    <row r="69" spans="2:7" ht="18.95" customHeight="1" x14ac:dyDescent="0.25">
      <c r="B69" s="36">
        <v>45516</v>
      </c>
      <c r="C69">
        <v>109.81</v>
      </c>
      <c r="D69" s="38">
        <f t="shared" si="0"/>
        <v>6.7879023631236102E-2</v>
      </c>
      <c r="F69" s="34">
        <v>24768.3</v>
      </c>
      <c r="G69" s="38">
        <f t="shared" si="1"/>
        <v>5.0060413354531041E-2</v>
      </c>
    </row>
    <row r="70" spans="2:7" ht="18.95" customHeight="1" x14ac:dyDescent="0.25">
      <c r="B70" s="36">
        <v>45303</v>
      </c>
      <c r="C70">
        <v>111.94</v>
      </c>
      <c r="D70" s="38">
        <f t="shared" si="0"/>
        <v>1.9397140515435618E-2</v>
      </c>
      <c r="F70" s="34">
        <v>24677.8</v>
      </c>
      <c r="G70" s="38">
        <f t="shared" si="1"/>
        <v>-3.653864011660013E-3</v>
      </c>
    </row>
    <row r="71" spans="2:7" ht="18.95" customHeight="1" x14ac:dyDescent="0.25">
      <c r="B71" s="36" t="s">
        <v>98</v>
      </c>
      <c r="C71">
        <v>114.32</v>
      </c>
      <c r="D71" s="38">
        <f t="shared" si="0"/>
        <v>2.1261390030373306E-2</v>
      </c>
      <c r="F71" s="34">
        <v>24131.1</v>
      </c>
      <c r="G71" s="38">
        <f t="shared" si="1"/>
        <v>-2.2153514494809179E-2</v>
      </c>
    </row>
    <row r="72" spans="2:7" ht="18.95" customHeight="1" x14ac:dyDescent="0.25">
      <c r="B72" s="36" t="s">
        <v>99</v>
      </c>
      <c r="C72">
        <v>105.14</v>
      </c>
      <c r="D72" s="38">
        <f t="shared" si="0"/>
        <v>-8.0300909727081815E-2</v>
      </c>
      <c r="F72" s="34">
        <v>23907.25</v>
      </c>
      <c r="G72" s="38">
        <f t="shared" si="1"/>
        <v>-9.2764109385812255E-3</v>
      </c>
    </row>
    <row r="73" spans="2:7" ht="18.95" customHeight="1" x14ac:dyDescent="0.25">
      <c r="B73" s="36">
        <v>45576</v>
      </c>
      <c r="C73">
        <v>105.2</v>
      </c>
      <c r="D73" s="38">
        <f t="shared" si="0"/>
        <v>5.7066768118696487E-4</v>
      </c>
      <c r="F73" s="34">
        <v>23532.7</v>
      </c>
      <c r="G73" s="38">
        <f t="shared" si="1"/>
        <v>-1.5666795637306663E-2</v>
      </c>
    </row>
    <row r="74" spans="2:7" ht="18.95" customHeight="1" x14ac:dyDescent="0.25">
      <c r="B74" s="36">
        <v>45362</v>
      </c>
      <c r="C74">
        <v>108.28</v>
      </c>
      <c r="D74" s="38">
        <f t="shared" si="0"/>
        <v>2.927756653992386E-2</v>
      </c>
      <c r="F74" s="34">
        <v>24148.2</v>
      </c>
      <c r="G74" s="38">
        <f t="shared" si="1"/>
        <v>2.6155094825498049E-2</v>
      </c>
    </row>
    <row r="75" spans="2:7" ht="18.95" customHeight="1" x14ac:dyDescent="0.25">
      <c r="B75" s="36" t="s">
        <v>100</v>
      </c>
      <c r="C75">
        <v>114.43</v>
      </c>
      <c r="D75" s="38">
        <f t="shared" si="0"/>
        <v>5.6797192463982293E-2</v>
      </c>
      <c r="F75" s="34">
        <v>24304.35</v>
      </c>
      <c r="G75" s="38">
        <f t="shared" si="1"/>
        <v>6.4663204710908584E-3</v>
      </c>
    </row>
    <row r="76" spans="2:7" ht="18.95" customHeight="1" x14ac:dyDescent="0.25">
      <c r="B76" s="36" t="s">
        <v>101</v>
      </c>
      <c r="C76">
        <v>109.42</v>
      </c>
      <c r="D76" s="38">
        <f t="shared" ref="D76:D113" si="2">(C76/C75)-1</f>
        <v>-4.3782224941012027E-2</v>
      </c>
      <c r="F76" s="34">
        <v>24180.799999999999</v>
      </c>
      <c r="G76" s="38">
        <f t="shared" ref="G76:G113" si="3">(F76/F75)-1</f>
        <v>-5.0834521392261189E-3</v>
      </c>
    </row>
    <row r="77" spans="2:7" ht="18.95" customHeight="1" x14ac:dyDescent="0.25">
      <c r="B77" s="36" t="s">
        <v>102</v>
      </c>
      <c r="C77">
        <v>121.72</v>
      </c>
      <c r="D77" s="38">
        <f t="shared" si="2"/>
        <v>0.11241089380369207</v>
      </c>
      <c r="F77" s="34">
        <v>24854.05</v>
      </c>
      <c r="G77" s="38">
        <f t="shared" si="3"/>
        <v>2.7842337722490562E-2</v>
      </c>
    </row>
    <row r="78" spans="2:7" ht="18.95" customHeight="1" x14ac:dyDescent="0.25">
      <c r="B78" s="36">
        <v>45453</v>
      </c>
      <c r="C78">
        <v>123.98</v>
      </c>
      <c r="D78" s="38">
        <f t="shared" si="2"/>
        <v>1.8567203417680034E-2</v>
      </c>
      <c r="F78" s="34">
        <v>24964.25</v>
      </c>
      <c r="G78" s="38">
        <f t="shared" si="3"/>
        <v>4.4338850207512603E-3</v>
      </c>
    </row>
    <row r="79" spans="2:7" ht="18.95" customHeight="1" x14ac:dyDescent="0.25">
      <c r="B79" s="36" t="s">
        <v>103</v>
      </c>
      <c r="C79">
        <v>121.34</v>
      </c>
      <c r="D79" s="38">
        <f t="shared" si="2"/>
        <v>-2.1293757057589957E-2</v>
      </c>
      <c r="F79" s="34">
        <v>25014.6</v>
      </c>
      <c r="G79" s="38">
        <f t="shared" si="3"/>
        <v>2.0168841443264363E-3</v>
      </c>
    </row>
    <row r="80" spans="2:7" ht="18.95" customHeight="1" x14ac:dyDescent="0.25">
      <c r="B80" s="36" t="s">
        <v>104</v>
      </c>
      <c r="C80">
        <v>128.30000000000001</v>
      </c>
      <c r="D80" s="38">
        <f t="shared" si="2"/>
        <v>5.7359485742541683E-2</v>
      </c>
      <c r="F80" s="34">
        <v>26178.95</v>
      </c>
      <c r="G80" s="38">
        <f t="shared" si="3"/>
        <v>4.6546816659071233E-2</v>
      </c>
    </row>
    <row r="81" spans="2:7" ht="18.95" customHeight="1" x14ac:dyDescent="0.25">
      <c r="B81" s="36" t="s">
        <v>105</v>
      </c>
      <c r="C81">
        <v>119.43</v>
      </c>
      <c r="D81" s="38">
        <f t="shared" si="2"/>
        <v>-6.9134840218238569E-2</v>
      </c>
      <c r="F81" s="34">
        <v>25790.95</v>
      </c>
      <c r="G81" s="38">
        <f t="shared" si="3"/>
        <v>-1.4821068071866894E-2</v>
      </c>
    </row>
    <row r="82" spans="2:7" ht="18.95" customHeight="1" x14ac:dyDescent="0.25">
      <c r="B82" s="36">
        <v>45513</v>
      </c>
      <c r="C82">
        <v>119.72</v>
      </c>
      <c r="D82" s="38">
        <f t="shared" si="2"/>
        <v>2.4282006196096884E-3</v>
      </c>
      <c r="F82" s="34">
        <v>25356.5</v>
      </c>
      <c r="G82" s="38">
        <f t="shared" si="3"/>
        <v>-1.684505611464493E-2</v>
      </c>
    </row>
    <row r="83" spans="2:7" ht="18.95" customHeight="1" x14ac:dyDescent="0.25">
      <c r="B83" s="36">
        <v>45300</v>
      </c>
      <c r="C83">
        <v>112.65</v>
      </c>
      <c r="D83" s="38">
        <f t="shared" si="2"/>
        <v>-5.9054460407617748E-2</v>
      </c>
      <c r="F83" s="34">
        <v>24852.15</v>
      </c>
      <c r="G83" s="38">
        <f t="shared" si="3"/>
        <v>-1.9890363417664036E-2</v>
      </c>
    </row>
    <row r="84" spans="2:7" ht="18.95" customHeight="1" x14ac:dyDescent="0.25">
      <c r="B84" s="36" t="s">
        <v>106</v>
      </c>
      <c r="C84">
        <v>113.58</v>
      </c>
      <c r="D84" s="38">
        <f t="shared" si="2"/>
        <v>8.2556591211717656E-3</v>
      </c>
      <c r="F84" s="34">
        <v>25235.9</v>
      </c>
      <c r="G84" s="38">
        <f t="shared" si="3"/>
        <v>1.544131996628062E-2</v>
      </c>
    </row>
    <row r="85" spans="2:7" ht="18.95" customHeight="1" x14ac:dyDescent="0.25">
      <c r="B85" s="36" t="s">
        <v>107</v>
      </c>
      <c r="C85">
        <v>116.42</v>
      </c>
      <c r="D85" s="38">
        <f t="shared" si="2"/>
        <v>2.5004402183482988E-2</v>
      </c>
      <c r="F85" s="34">
        <v>24823.15</v>
      </c>
      <c r="G85" s="38">
        <f t="shared" si="3"/>
        <v>-1.6355667917530181E-2</v>
      </c>
    </row>
    <row r="86" spans="2:7" ht="18.95" customHeight="1" x14ac:dyDescent="0.25">
      <c r="B86" s="36">
        <v>45604</v>
      </c>
      <c r="C86">
        <v>116.4</v>
      </c>
      <c r="D86" s="38">
        <f t="shared" si="2"/>
        <v>-1.7179178835247111E-4</v>
      </c>
      <c r="F86" s="34">
        <v>24541.15</v>
      </c>
      <c r="G86" s="38">
        <f t="shared" si="3"/>
        <v>-1.1360363209342861E-2</v>
      </c>
    </row>
    <row r="87" spans="2:7" ht="18.95" customHeight="1" x14ac:dyDescent="0.25">
      <c r="B87" s="36">
        <v>45390</v>
      </c>
      <c r="C87">
        <v>118.31</v>
      </c>
      <c r="D87" s="38">
        <f t="shared" si="2"/>
        <v>1.6408934707903722E-2</v>
      </c>
      <c r="F87" s="34">
        <v>24367.5</v>
      </c>
      <c r="G87" s="38">
        <f t="shared" si="3"/>
        <v>-7.0758705276647849E-3</v>
      </c>
    </row>
    <row r="88" spans="2:7" ht="18.95" customHeight="1" x14ac:dyDescent="0.25">
      <c r="B88" s="36" t="s">
        <v>108</v>
      </c>
      <c r="C88">
        <v>122.25</v>
      </c>
      <c r="D88" s="38">
        <f t="shared" si="2"/>
        <v>3.3302341306736594E-2</v>
      </c>
      <c r="F88" s="34">
        <v>24717.7</v>
      </c>
      <c r="G88" s="38">
        <f t="shared" si="3"/>
        <v>1.4371601518415877E-2</v>
      </c>
    </row>
    <row r="89" spans="2:7" ht="18.95" customHeight="1" x14ac:dyDescent="0.25">
      <c r="B89" s="36" t="s">
        <v>109</v>
      </c>
      <c r="C89">
        <v>120.25</v>
      </c>
      <c r="D89" s="38">
        <f t="shared" si="2"/>
        <v>-1.6359918200409052E-2</v>
      </c>
      <c r="F89" s="34">
        <v>24834.85</v>
      </c>
      <c r="G89" s="38">
        <f t="shared" si="3"/>
        <v>4.7395186445340354E-3</v>
      </c>
    </row>
    <row r="90" spans="2:7" ht="18.95" customHeight="1" x14ac:dyDescent="0.25">
      <c r="B90" s="36" t="s">
        <v>110</v>
      </c>
      <c r="C90">
        <v>115</v>
      </c>
      <c r="D90" s="38">
        <f t="shared" si="2"/>
        <v>-4.3659043659043606E-2</v>
      </c>
      <c r="F90" s="34">
        <v>24530.9</v>
      </c>
      <c r="G90" s="38">
        <f t="shared" si="3"/>
        <v>-1.2238849842056476E-2</v>
      </c>
    </row>
    <row r="91" spans="2:7" ht="18.95" customHeight="1" x14ac:dyDescent="0.25">
      <c r="B91" s="36">
        <v>45480</v>
      </c>
      <c r="C91">
        <v>117.77</v>
      </c>
      <c r="D91" s="38">
        <f t="shared" si="2"/>
        <v>2.40869565217392E-2</v>
      </c>
      <c r="F91" s="34">
        <v>24502.15</v>
      </c>
      <c r="G91" s="38">
        <f t="shared" si="3"/>
        <v>-1.1719912436967128E-3</v>
      </c>
    </row>
    <row r="92" spans="2:7" ht="18.95" customHeight="1" x14ac:dyDescent="0.25">
      <c r="B92" s="36" t="s">
        <v>111</v>
      </c>
      <c r="C92">
        <v>119.39</v>
      </c>
      <c r="D92" s="38">
        <f t="shared" si="2"/>
        <v>1.3755625371486779E-2</v>
      </c>
      <c r="F92" s="34">
        <v>24323.85</v>
      </c>
      <c r="G92" s="38">
        <f t="shared" si="3"/>
        <v>-7.2769124342150215E-3</v>
      </c>
    </row>
    <row r="93" spans="2:7" ht="18.95" customHeight="1" x14ac:dyDescent="0.25">
      <c r="B93" s="36" t="s">
        <v>112</v>
      </c>
      <c r="C93">
        <v>113.74</v>
      </c>
      <c r="D93" s="38">
        <f t="shared" si="2"/>
        <v>-4.7323896473741578E-2</v>
      </c>
      <c r="F93" s="34">
        <v>24010.6</v>
      </c>
      <c r="G93" s="38">
        <f t="shared" si="3"/>
        <v>-1.2878306682535867E-2</v>
      </c>
    </row>
    <row r="94" spans="2:7" ht="18.95" customHeight="1" x14ac:dyDescent="0.25">
      <c r="B94" s="36" t="s">
        <v>113</v>
      </c>
      <c r="C94">
        <v>114.74</v>
      </c>
      <c r="D94" s="38">
        <f t="shared" si="2"/>
        <v>8.791981712678032E-3</v>
      </c>
      <c r="F94" s="34">
        <v>23501.1</v>
      </c>
      <c r="G94" s="38">
        <f t="shared" si="3"/>
        <v>-2.1219794590722429E-2</v>
      </c>
    </row>
    <row r="95" spans="2:7" ht="18.95" customHeight="1" x14ac:dyDescent="0.25">
      <c r="B95" s="36">
        <v>45541</v>
      </c>
      <c r="C95">
        <v>119.74</v>
      </c>
      <c r="D95" s="38">
        <f t="shared" si="2"/>
        <v>4.3576782290395633E-2</v>
      </c>
      <c r="F95" s="34">
        <v>23465.599999999999</v>
      </c>
      <c r="G95" s="38">
        <f t="shared" si="3"/>
        <v>-1.5105675904532045E-3</v>
      </c>
    </row>
    <row r="96" spans="2:7" ht="18.95" customHeight="1" x14ac:dyDescent="0.25">
      <c r="B96" s="36">
        <v>45328</v>
      </c>
      <c r="C96">
        <v>118.13</v>
      </c>
      <c r="D96" s="38">
        <f t="shared" si="2"/>
        <v>-1.3445799231668665E-2</v>
      </c>
      <c r="F96" s="34">
        <v>23290.15</v>
      </c>
      <c r="G96" s="38">
        <f t="shared" si="3"/>
        <v>-7.4769023591980677E-3</v>
      </c>
    </row>
    <row r="97" spans="2:7" ht="18.95" customHeight="1" x14ac:dyDescent="0.25">
      <c r="B97" s="36" t="s">
        <v>114</v>
      </c>
      <c r="C97">
        <v>104.81</v>
      </c>
      <c r="D97" s="38">
        <f t="shared" si="2"/>
        <v>-0.11275713197324977</v>
      </c>
      <c r="F97" s="34">
        <v>22530.7</v>
      </c>
      <c r="G97" s="38">
        <f t="shared" si="3"/>
        <v>-3.2608205614820029E-2</v>
      </c>
    </row>
    <row r="98" spans="2:7" ht="18.95" customHeight="1" x14ac:dyDescent="0.25">
      <c r="B98" s="36" t="s">
        <v>115</v>
      </c>
      <c r="C98">
        <v>105.69</v>
      </c>
      <c r="D98" s="38">
        <f t="shared" si="2"/>
        <v>8.3961454059726659E-3</v>
      </c>
      <c r="F98" s="34">
        <v>22957.1</v>
      </c>
      <c r="G98" s="38">
        <f t="shared" si="3"/>
        <v>1.8925288606212787E-2</v>
      </c>
    </row>
    <row r="99" spans="2:7" ht="18.95" customHeight="1" x14ac:dyDescent="0.25">
      <c r="B99" s="36">
        <v>45631</v>
      </c>
      <c r="C99">
        <v>96.56</v>
      </c>
      <c r="D99" s="38">
        <f t="shared" si="2"/>
        <v>-8.6384710000946163E-2</v>
      </c>
      <c r="F99" s="34">
        <v>22466.1</v>
      </c>
      <c r="G99" s="38">
        <f t="shared" si="3"/>
        <v>-2.1387718832082458E-2</v>
      </c>
    </row>
    <row r="100" spans="2:7" ht="18.95" customHeight="1" x14ac:dyDescent="0.25">
      <c r="B100" s="36">
        <v>45417</v>
      </c>
      <c r="C100">
        <v>93.59</v>
      </c>
      <c r="D100" s="38">
        <f t="shared" si="2"/>
        <v>-3.0758077879038948E-2</v>
      </c>
      <c r="F100" s="34">
        <v>22055.200000000001</v>
      </c>
      <c r="G100" s="38">
        <f t="shared" si="3"/>
        <v>-1.8289778822314418E-2</v>
      </c>
    </row>
    <row r="101" spans="2:7" ht="18.95" customHeight="1" x14ac:dyDescent="0.25">
      <c r="B101" s="36" t="s">
        <v>116</v>
      </c>
      <c r="C101">
        <v>92.61</v>
      </c>
      <c r="D101" s="38">
        <f t="shared" si="2"/>
        <v>-1.0471204188481686E-2</v>
      </c>
      <c r="F101" s="34">
        <v>22475.85</v>
      </c>
      <c r="G101" s="38">
        <f t="shared" si="3"/>
        <v>1.9072599659037293E-2</v>
      </c>
    </row>
    <row r="102" spans="2:7" ht="18.95" customHeight="1" x14ac:dyDescent="0.25">
      <c r="B102" s="36" t="s">
        <v>117</v>
      </c>
      <c r="C102">
        <v>97.85</v>
      </c>
      <c r="D102" s="38">
        <f t="shared" si="2"/>
        <v>5.6581362703811644E-2</v>
      </c>
      <c r="F102" s="34">
        <v>22419.95</v>
      </c>
      <c r="G102" s="38">
        <f t="shared" si="3"/>
        <v>-2.4871139467471659E-3</v>
      </c>
    </row>
    <row r="103" spans="2:7" ht="18.95" customHeight="1" x14ac:dyDescent="0.25">
      <c r="B103" s="36" t="s">
        <v>118</v>
      </c>
      <c r="C103">
        <v>84.37</v>
      </c>
      <c r="D103" s="38">
        <f t="shared" si="2"/>
        <v>-0.13776188042922832</v>
      </c>
      <c r="F103" s="34">
        <v>22147</v>
      </c>
      <c r="G103" s="38">
        <f t="shared" si="3"/>
        <v>-1.2174425009868428E-2</v>
      </c>
    </row>
    <row r="104" spans="2:7" ht="18.95" customHeight="1" x14ac:dyDescent="0.25">
      <c r="B104" s="36">
        <v>45477</v>
      </c>
      <c r="C104">
        <v>85.25</v>
      </c>
      <c r="D104" s="38">
        <f t="shared" si="2"/>
        <v>1.0430247718383301E-2</v>
      </c>
      <c r="F104" s="34">
        <v>22519.4</v>
      </c>
      <c r="G104" s="38">
        <f t="shared" si="3"/>
        <v>1.6814918499119536E-2</v>
      </c>
    </row>
    <row r="105" spans="2:7" ht="18.95" customHeight="1" x14ac:dyDescent="0.25">
      <c r="B105" s="36" t="s">
        <v>119</v>
      </c>
      <c r="C105">
        <v>86.49</v>
      </c>
      <c r="D105" s="38">
        <f t="shared" si="2"/>
        <v>1.4545454545454417E-2</v>
      </c>
      <c r="F105" s="34">
        <v>22513.7</v>
      </c>
      <c r="G105" s="38">
        <f t="shared" si="3"/>
        <v>-2.5311509187642134E-4</v>
      </c>
    </row>
    <row r="106" spans="2:7" ht="18.95" customHeight="1" x14ac:dyDescent="0.25">
      <c r="B106" s="36" t="s">
        <v>120</v>
      </c>
      <c r="C106">
        <v>74.900000000000006</v>
      </c>
      <c r="D106" s="38">
        <f t="shared" si="2"/>
        <v>-0.13400393109029929</v>
      </c>
      <c r="F106" s="34">
        <v>22326.9</v>
      </c>
      <c r="G106" s="38">
        <f t="shared" si="3"/>
        <v>-8.2971701674979803E-3</v>
      </c>
    </row>
    <row r="107" spans="2:7" ht="18.95" customHeight="1" x14ac:dyDescent="0.25">
      <c r="B107" s="36" t="s">
        <v>121</v>
      </c>
      <c r="C107">
        <v>74.83</v>
      </c>
      <c r="D107" s="38">
        <f t="shared" si="2"/>
        <v>-9.3457943925245868E-4</v>
      </c>
      <c r="F107" s="34">
        <v>22096.75</v>
      </c>
      <c r="G107" s="38">
        <f t="shared" si="3"/>
        <v>-1.0308193255669229E-2</v>
      </c>
    </row>
    <row r="108" spans="2:7" ht="18.95" customHeight="1" x14ac:dyDescent="0.25">
      <c r="B108" s="36">
        <v>45568</v>
      </c>
      <c r="C108">
        <v>75.55</v>
      </c>
      <c r="D108" s="38">
        <f t="shared" si="2"/>
        <v>9.6218094347186867E-3</v>
      </c>
      <c r="F108" s="34">
        <v>22023.35</v>
      </c>
      <c r="G108" s="38">
        <f t="shared" si="3"/>
        <v>-3.3217554617761547E-3</v>
      </c>
    </row>
    <row r="109" spans="2:7" ht="18.95" customHeight="1" x14ac:dyDescent="0.25">
      <c r="B109" s="36">
        <v>45354</v>
      </c>
      <c r="C109">
        <v>82.13</v>
      </c>
      <c r="D109" s="38">
        <f t="shared" si="2"/>
        <v>8.7094639311714017E-2</v>
      </c>
      <c r="F109" s="34">
        <v>22493.55</v>
      </c>
      <c r="G109" s="38">
        <f t="shared" si="3"/>
        <v>2.1350067087886337E-2</v>
      </c>
    </row>
    <row r="110" spans="2:7" ht="18.95" customHeight="1" x14ac:dyDescent="0.25">
      <c r="B110" s="36" t="s">
        <v>122</v>
      </c>
      <c r="C110">
        <v>83.72</v>
      </c>
      <c r="D110" s="38">
        <f t="shared" si="2"/>
        <v>1.9359551929867269E-2</v>
      </c>
      <c r="F110" s="34">
        <v>22338.75</v>
      </c>
      <c r="G110" s="38">
        <f t="shared" si="3"/>
        <v>-6.8819728322118134E-3</v>
      </c>
    </row>
    <row r="111" spans="2:7" ht="18.95" customHeight="1" x14ac:dyDescent="0.25">
      <c r="B111" s="36" t="s">
        <v>123</v>
      </c>
      <c r="C111">
        <v>82.42</v>
      </c>
      <c r="D111" s="38">
        <f t="shared" si="2"/>
        <v>-1.552795031055898E-2</v>
      </c>
      <c r="F111" s="34">
        <v>22212.7</v>
      </c>
      <c r="G111" s="38">
        <f t="shared" si="3"/>
        <v>-5.6426612948351496E-3</v>
      </c>
    </row>
    <row r="112" spans="2:7" ht="18.95" customHeight="1" x14ac:dyDescent="0.25">
      <c r="B112" s="36">
        <v>45598</v>
      </c>
      <c r="C112">
        <v>84.12</v>
      </c>
      <c r="D112" s="38">
        <f t="shared" si="2"/>
        <v>2.0626061635525383E-2</v>
      </c>
      <c r="F112" s="34">
        <v>22040.7</v>
      </c>
      <c r="G112" s="38">
        <f t="shared" si="3"/>
        <v>-7.7433180117680855E-3</v>
      </c>
    </row>
    <row r="113" spans="2:7" ht="18.95" customHeight="1" x14ac:dyDescent="0.25">
      <c r="B113" s="36">
        <v>45384</v>
      </c>
      <c r="C113">
        <v>92.13</v>
      </c>
      <c r="D113" s="38">
        <f t="shared" si="2"/>
        <v>9.5221112696148191E-2</v>
      </c>
      <c r="F113" s="34">
        <v>21782.5</v>
      </c>
      <c r="G113" s="38">
        <f t="shared" si="3"/>
        <v>-1.1714691457167858E-2</v>
      </c>
    </row>
  </sheetData>
  <mergeCells count="3">
    <mergeCell ref="B7:D7"/>
    <mergeCell ref="F7:G7"/>
    <mergeCell ref="I7:J7"/>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4EC17-0F58-455A-A6E1-3E155E8C7DD2}">
  <dimension ref="B5:T113"/>
  <sheetViews>
    <sheetView topLeftCell="A85" workbookViewId="0">
      <selection activeCell="C9" sqref="C9:C113"/>
    </sheetView>
  </sheetViews>
  <sheetFormatPr defaultRowHeight="18.95" customHeight="1" x14ac:dyDescent="0.25"/>
  <cols>
    <col min="1" max="1" width="1.85546875" customWidth="1"/>
    <col min="2" max="2" width="10.7109375" bestFit="1" customWidth="1"/>
    <col min="3" max="8" width="12.7109375" customWidth="1"/>
    <col min="9" max="9" width="20.140625" customWidth="1"/>
    <col min="10" max="13" width="12.7109375" customWidth="1"/>
    <col min="14" max="14" width="14.5703125" bestFit="1" customWidth="1"/>
    <col min="15" max="15" width="12.7109375" customWidth="1"/>
    <col min="17" max="17" width="13.42578125" bestFit="1" customWidth="1"/>
    <col min="18" max="18" width="11" bestFit="1" customWidth="1"/>
    <col min="19" max="19" width="12.42578125" bestFit="1" customWidth="1"/>
    <col min="20" max="20" width="12.5703125" bestFit="1" customWidth="1"/>
  </cols>
  <sheetData>
    <row r="5" spans="2:13" ht="18.95" customHeight="1" x14ac:dyDescent="0.25">
      <c r="B5" s="31" t="s">
        <v>54</v>
      </c>
    </row>
    <row r="7" spans="2:13" ht="18.95" customHeight="1" x14ac:dyDescent="0.25">
      <c r="B7" s="140" t="s">
        <v>55</v>
      </c>
      <c r="C7" s="140"/>
      <c r="D7" s="140"/>
      <c r="F7" s="140" t="s">
        <v>59</v>
      </c>
      <c r="G7" s="140"/>
      <c r="I7" s="140" t="s">
        <v>60</v>
      </c>
      <c r="J7" s="140"/>
    </row>
    <row r="9" spans="2:13" ht="18.95" customHeight="1" x14ac:dyDescent="0.25">
      <c r="B9" s="33" t="s">
        <v>56</v>
      </c>
      <c r="C9" s="33" t="s">
        <v>57</v>
      </c>
      <c r="D9" s="33" t="s">
        <v>58</v>
      </c>
      <c r="F9" s="33" t="s">
        <v>57</v>
      </c>
      <c r="G9" s="33" t="s">
        <v>58</v>
      </c>
      <c r="I9" s="31" t="s">
        <v>153</v>
      </c>
      <c r="J9" s="20">
        <f>M10</f>
        <v>-0.19132286913654964</v>
      </c>
    </row>
    <row r="10" spans="2:13" ht="18.95" customHeight="1" x14ac:dyDescent="0.25">
      <c r="B10" s="36" t="s">
        <v>61</v>
      </c>
      <c r="C10">
        <v>475.2</v>
      </c>
      <c r="F10" s="34">
        <v>25320.65</v>
      </c>
      <c r="I10" t="s">
        <v>154</v>
      </c>
      <c r="J10" s="22">
        <v>0.75</v>
      </c>
      <c r="L10" t="s">
        <v>124</v>
      </c>
      <c r="M10" s="20">
        <f>SLOPE(D11:D113,G11:G113)</f>
        <v>-0.19132286913654964</v>
      </c>
    </row>
    <row r="11" spans="2:13" ht="18.95" customHeight="1" x14ac:dyDescent="0.25">
      <c r="B11" s="36" t="s">
        <v>62</v>
      </c>
      <c r="C11">
        <v>485.35</v>
      </c>
      <c r="D11" s="38">
        <f>(C11/C10)-1</f>
        <v>2.1359427609427772E-2</v>
      </c>
      <c r="F11" s="34">
        <v>25048.65</v>
      </c>
      <c r="G11" s="38">
        <f>(F11/F10)-1</f>
        <v>-1.0742220282654702E-2</v>
      </c>
      <c r="L11" t="s">
        <v>125</v>
      </c>
      <c r="M11" s="20">
        <f>_xlfn.COVARIANCE.S(D10:D113,G10:G113)/_xlfn.VAR.S(G10:G113)</f>
        <v>-0.19132286913654969</v>
      </c>
    </row>
    <row r="12" spans="2:13" ht="18.95" customHeight="1" x14ac:dyDescent="0.25">
      <c r="B12" s="36">
        <v>46327</v>
      </c>
      <c r="C12">
        <v>484.5</v>
      </c>
      <c r="D12" s="38">
        <f t="shared" ref="D12:D75" si="0">(C12/C11)-1</f>
        <v>-1.7513134851139256E-3</v>
      </c>
      <c r="F12" s="34">
        <v>25694.35</v>
      </c>
      <c r="G12" s="38">
        <f t="shared" ref="G12:G75" si="1">(F12/F11)-1</f>
        <v>2.5777836330500792E-2</v>
      </c>
      <c r="I12" t="s">
        <v>156</v>
      </c>
      <c r="J12">
        <v>1</v>
      </c>
    </row>
    <row r="13" spans="2:13" ht="18.95" customHeight="1" x14ac:dyDescent="0.25">
      <c r="B13" s="36">
        <v>46113</v>
      </c>
      <c r="C13">
        <v>528.15</v>
      </c>
      <c r="D13" s="38">
        <f t="shared" si="0"/>
        <v>9.0092879256965963E-2</v>
      </c>
      <c r="F13" s="34">
        <v>25683.3</v>
      </c>
      <c r="G13" s="38">
        <f t="shared" si="1"/>
        <v>-4.3005563479903142E-4</v>
      </c>
      <c r="I13" t="s">
        <v>155</v>
      </c>
      <c r="J13" s="22">
        <v>0.25</v>
      </c>
      <c r="L13" t="s">
        <v>126</v>
      </c>
      <c r="M13" s="20">
        <f>M32</f>
        <v>-0.19132286913654983</v>
      </c>
    </row>
    <row r="14" spans="2:13" ht="18.95" customHeight="1" x14ac:dyDescent="0.25">
      <c r="B14" s="36" t="s">
        <v>63</v>
      </c>
      <c r="C14">
        <v>540.45000000000005</v>
      </c>
      <c r="D14" s="38">
        <f t="shared" si="0"/>
        <v>2.328883839818241E-2</v>
      </c>
      <c r="F14" s="34">
        <v>26328.55</v>
      </c>
      <c r="G14" s="38">
        <f t="shared" si="1"/>
        <v>2.5123329167201947E-2</v>
      </c>
    </row>
    <row r="15" spans="2:13" ht="18.95" customHeight="1" x14ac:dyDescent="0.25">
      <c r="B15" s="36" t="s">
        <v>64</v>
      </c>
      <c r="C15">
        <v>579.65</v>
      </c>
      <c r="D15" s="38">
        <f t="shared" si="0"/>
        <v>7.2532149134979962E-2</v>
      </c>
      <c r="F15" s="34">
        <v>26042.3</v>
      </c>
      <c r="G15" s="38">
        <f t="shared" si="1"/>
        <v>-1.0872228056615363E-2</v>
      </c>
      <c r="I15" s="43" t="s">
        <v>157</v>
      </c>
      <c r="J15" s="8">
        <f>(J9*J10)+(J12*J13)</f>
        <v>0.10650784814758776</v>
      </c>
      <c r="L15" t="s">
        <v>128</v>
      </c>
    </row>
    <row r="16" spans="2:13" ht="18.95" customHeight="1" thickBot="1" x14ac:dyDescent="0.3">
      <c r="B16" s="36" t="s">
        <v>65</v>
      </c>
      <c r="C16">
        <v>578.79999999999995</v>
      </c>
      <c r="D16" s="38">
        <f t="shared" si="0"/>
        <v>-1.4664021392220006E-3</v>
      </c>
      <c r="F16" s="34">
        <v>25966.400000000001</v>
      </c>
      <c r="G16" s="38">
        <f t="shared" si="1"/>
        <v>-2.9144891196245526E-3</v>
      </c>
    </row>
    <row r="17" spans="2:20" ht="18.95" customHeight="1" x14ac:dyDescent="0.25">
      <c r="B17" s="36">
        <v>45850</v>
      </c>
      <c r="C17">
        <v>598.20000000000005</v>
      </c>
      <c r="D17" s="38">
        <f t="shared" si="0"/>
        <v>3.3517622667588176E-2</v>
      </c>
      <c r="F17" s="34">
        <v>26046.95</v>
      </c>
      <c r="G17" s="38">
        <f t="shared" si="1"/>
        <v>3.10208577238269E-3</v>
      </c>
      <c r="L17" s="41" t="s">
        <v>129</v>
      </c>
      <c r="M17" s="41"/>
    </row>
    <row r="18" spans="2:20" ht="18.95" customHeight="1" x14ac:dyDescent="0.25">
      <c r="B18" s="36" t="s">
        <v>66</v>
      </c>
      <c r="C18">
        <v>596.35</v>
      </c>
      <c r="D18" s="38">
        <f t="shared" si="0"/>
        <v>-3.0926111668339029E-3</v>
      </c>
      <c r="F18" s="34">
        <v>26186.45</v>
      </c>
      <c r="G18" s="38">
        <f t="shared" si="1"/>
        <v>5.3557134328587885E-3</v>
      </c>
      <c r="L18" t="s">
        <v>130</v>
      </c>
      <c r="M18">
        <v>7.6380859190563449E-2</v>
      </c>
    </row>
    <row r="19" spans="2:20" ht="18.95" customHeight="1" x14ac:dyDescent="0.25">
      <c r="B19" s="36" t="s">
        <v>67</v>
      </c>
      <c r="C19">
        <v>597.25</v>
      </c>
      <c r="D19" s="38">
        <f t="shared" si="0"/>
        <v>1.5091808501719317E-3</v>
      </c>
      <c r="F19" s="34">
        <v>26202.95</v>
      </c>
      <c r="G19" s="38">
        <f t="shared" si="1"/>
        <v>6.3009686307236024E-4</v>
      </c>
      <c r="L19" t="s">
        <v>131</v>
      </c>
      <c r="M19">
        <v>5.8340356506886805E-3</v>
      </c>
    </row>
    <row r="20" spans="2:20" ht="18.95" customHeight="1" x14ac:dyDescent="0.25">
      <c r="B20" s="36" t="s">
        <v>68</v>
      </c>
      <c r="C20">
        <v>608.15</v>
      </c>
      <c r="D20" s="38">
        <f t="shared" si="0"/>
        <v>1.8250313938886542E-2</v>
      </c>
      <c r="F20" s="34">
        <v>26068.15</v>
      </c>
      <c r="G20" s="38">
        <f t="shared" si="1"/>
        <v>-5.144458925426254E-3</v>
      </c>
      <c r="L20" t="s">
        <v>132</v>
      </c>
      <c r="M20">
        <v>-4.0091917191064814E-3</v>
      </c>
    </row>
    <row r="21" spans="2:20" ht="18.95" customHeight="1" x14ac:dyDescent="0.25">
      <c r="B21" s="36">
        <v>45911</v>
      </c>
      <c r="C21">
        <v>608.15</v>
      </c>
      <c r="D21" s="38">
        <f t="shared" si="0"/>
        <v>0</v>
      </c>
      <c r="F21" s="34">
        <v>25910.05</v>
      </c>
      <c r="G21" s="38">
        <f t="shared" si="1"/>
        <v>-6.0648722674989664E-3</v>
      </c>
      <c r="L21" t="s">
        <v>133</v>
      </c>
      <c r="M21">
        <v>4.2271936456222819E-2</v>
      </c>
    </row>
    <row r="22" spans="2:20" ht="18.95" customHeight="1" thickBot="1" x14ac:dyDescent="0.3">
      <c r="B22" s="36">
        <v>45699</v>
      </c>
      <c r="C22">
        <v>626.5</v>
      </c>
      <c r="D22" s="38">
        <f t="shared" si="0"/>
        <v>3.0173476938255339E-2</v>
      </c>
      <c r="F22" s="34">
        <v>25492.3</v>
      </c>
      <c r="G22" s="38">
        <f t="shared" si="1"/>
        <v>-1.6123087373432266E-2</v>
      </c>
      <c r="L22" s="39" t="s">
        <v>134</v>
      </c>
      <c r="M22" s="39">
        <v>103</v>
      </c>
    </row>
    <row r="23" spans="2:20" ht="18.95" customHeight="1" x14ac:dyDescent="0.25">
      <c r="B23" s="36" t="s">
        <v>69</v>
      </c>
      <c r="C23">
        <v>639.5</v>
      </c>
      <c r="D23" s="38">
        <f t="shared" si="0"/>
        <v>2.0750199521149204E-2</v>
      </c>
      <c r="F23" s="34">
        <v>25722.1</v>
      </c>
      <c r="G23" s="38">
        <f t="shared" si="1"/>
        <v>9.0144867273647122E-3</v>
      </c>
    </row>
    <row r="24" spans="2:20" ht="18.95" customHeight="1" thickBot="1" x14ac:dyDescent="0.3">
      <c r="B24" s="36" t="s">
        <v>70</v>
      </c>
      <c r="C24">
        <v>645.75</v>
      </c>
      <c r="D24" s="38">
        <f t="shared" si="0"/>
        <v>9.7732603596560885E-3</v>
      </c>
      <c r="F24" s="34">
        <v>25795.15</v>
      </c>
      <c r="G24" s="38">
        <f t="shared" si="1"/>
        <v>2.839970297915162E-3</v>
      </c>
      <c r="L24" t="s">
        <v>135</v>
      </c>
    </row>
    <row r="25" spans="2:20" ht="18.95" customHeight="1" x14ac:dyDescent="0.25">
      <c r="B25" s="36">
        <v>46001</v>
      </c>
      <c r="C25">
        <v>688.2</v>
      </c>
      <c r="D25" s="38">
        <f t="shared" si="0"/>
        <v>6.573751451800236E-2</v>
      </c>
      <c r="F25" s="34">
        <v>25709.85</v>
      </c>
      <c r="G25" s="38">
        <f t="shared" si="1"/>
        <v>-3.3068231818773608E-3</v>
      </c>
      <c r="L25" s="40"/>
      <c r="M25" s="40" t="s">
        <v>140</v>
      </c>
      <c r="N25" s="40" t="s">
        <v>141</v>
      </c>
      <c r="O25" s="40" t="s">
        <v>142</v>
      </c>
      <c r="P25" s="40" t="s">
        <v>143</v>
      </c>
      <c r="Q25" s="40" t="s">
        <v>144</v>
      </c>
    </row>
    <row r="26" spans="2:20" ht="18.95" customHeight="1" x14ac:dyDescent="0.25">
      <c r="B26" s="36">
        <v>45787</v>
      </c>
      <c r="C26">
        <v>691.35</v>
      </c>
      <c r="D26" s="38">
        <f t="shared" si="0"/>
        <v>4.5771578029643045E-3</v>
      </c>
      <c r="F26" s="34">
        <v>25285.35</v>
      </c>
      <c r="G26" s="38">
        <f t="shared" si="1"/>
        <v>-1.6511181512144146E-2</v>
      </c>
      <c r="L26" t="s">
        <v>136</v>
      </c>
      <c r="M26">
        <v>1</v>
      </c>
      <c r="N26">
        <v>1.0590972682190947E-3</v>
      </c>
      <c r="O26">
        <v>1.0590972682190947E-3</v>
      </c>
      <c r="P26">
        <v>0.59269540685313737</v>
      </c>
      <c r="Q26">
        <v>0.44317560793618216</v>
      </c>
    </row>
    <row r="27" spans="2:20" ht="18.95" customHeight="1" x14ac:dyDescent="0.25">
      <c r="B27" s="36" t="s">
        <v>71</v>
      </c>
      <c r="C27">
        <v>697.2</v>
      </c>
      <c r="D27" s="38">
        <f t="shared" si="0"/>
        <v>8.461705359080085E-3</v>
      </c>
      <c r="F27" s="34">
        <v>24894.25</v>
      </c>
      <c r="G27" s="38">
        <f t="shared" si="1"/>
        <v>-1.5467454474626607E-2</v>
      </c>
      <c r="L27" t="s">
        <v>137</v>
      </c>
      <c r="M27">
        <v>101</v>
      </c>
      <c r="N27">
        <v>0.18047857778765294</v>
      </c>
      <c r="O27">
        <v>1.7869166117589401E-3</v>
      </c>
    </row>
    <row r="28" spans="2:20" ht="18.95" customHeight="1" thickBot="1" x14ac:dyDescent="0.3">
      <c r="B28" s="36" t="s">
        <v>72</v>
      </c>
      <c r="C28">
        <v>694.9</v>
      </c>
      <c r="D28" s="38">
        <f t="shared" si="0"/>
        <v>-3.2989099254160381E-3</v>
      </c>
      <c r="F28" s="34">
        <v>24654.7</v>
      </c>
      <c r="G28" s="38">
        <f t="shared" si="1"/>
        <v>-9.6227040380810758E-3</v>
      </c>
      <c r="L28" s="39" t="s">
        <v>138</v>
      </c>
      <c r="M28" s="39">
        <v>102</v>
      </c>
      <c r="N28" s="39">
        <v>0.18153767505587204</v>
      </c>
      <c r="O28" s="39"/>
      <c r="P28" s="39"/>
      <c r="Q28" s="39"/>
    </row>
    <row r="29" spans="2:20" ht="18.95" customHeight="1" thickBot="1" x14ac:dyDescent="0.3">
      <c r="B29" s="36" t="s">
        <v>73</v>
      </c>
      <c r="C29">
        <v>704</v>
      </c>
      <c r="D29" s="38">
        <f t="shared" si="0"/>
        <v>1.3095409411426173E-2</v>
      </c>
      <c r="F29" s="34">
        <v>25327.05</v>
      </c>
      <c r="G29" s="38">
        <f t="shared" si="1"/>
        <v>2.7270662388915623E-2</v>
      </c>
    </row>
    <row r="30" spans="2:20" ht="18.95" customHeight="1" x14ac:dyDescent="0.25">
      <c r="B30" s="36">
        <v>45847</v>
      </c>
      <c r="C30">
        <v>717.55</v>
      </c>
      <c r="D30" s="38">
        <f t="shared" si="0"/>
        <v>1.9247159090909127E-2</v>
      </c>
      <c r="F30" s="34">
        <v>25114</v>
      </c>
      <c r="G30" s="38">
        <f t="shared" si="1"/>
        <v>-8.4119548072120187E-3</v>
      </c>
      <c r="L30" s="40"/>
      <c r="M30" s="40" t="s">
        <v>145</v>
      </c>
      <c r="N30" s="40" t="s">
        <v>133</v>
      </c>
      <c r="O30" s="40" t="s">
        <v>146</v>
      </c>
      <c r="P30" s="40" t="s">
        <v>147</v>
      </c>
      <c r="Q30" s="40" t="s">
        <v>148</v>
      </c>
      <c r="R30" s="40" t="s">
        <v>149</v>
      </c>
      <c r="S30" s="40" t="s">
        <v>150</v>
      </c>
      <c r="T30" s="40" t="s">
        <v>151</v>
      </c>
    </row>
    <row r="31" spans="2:20" ht="18.95" customHeight="1" x14ac:dyDescent="0.25">
      <c r="B31" s="36" t="s">
        <v>74</v>
      </c>
      <c r="C31">
        <v>723.05</v>
      </c>
      <c r="D31" s="38">
        <f t="shared" si="0"/>
        <v>7.6649710821545813E-3</v>
      </c>
      <c r="F31" s="34">
        <v>24741</v>
      </c>
      <c r="G31" s="38">
        <f t="shared" si="1"/>
        <v>-1.4852273632236956E-2</v>
      </c>
      <c r="L31" t="s">
        <v>139</v>
      </c>
      <c r="M31">
        <v>7.5782282027278E-3</v>
      </c>
      <c r="N31">
        <v>4.1780784501246563E-3</v>
      </c>
      <c r="O31">
        <v>1.8138070630295842</v>
      </c>
      <c r="P31">
        <v>7.2676722949799016E-2</v>
      </c>
      <c r="Q31">
        <v>-7.0995555156518151E-4</v>
      </c>
      <c r="R31">
        <v>1.5866411957020782E-2</v>
      </c>
      <c r="S31">
        <v>-7.0995555156518151E-4</v>
      </c>
      <c r="T31">
        <v>1.5866411957020782E-2</v>
      </c>
    </row>
    <row r="32" spans="2:20" ht="18.95" customHeight="1" thickBot="1" x14ac:dyDescent="0.3">
      <c r="B32" s="36" t="s">
        <v>75</v>
      </c>
      <c r="C32">
        <v>724</v>
      </c>
      <c r="D32" s="38">
        <f t="shared" si="0"/>
        <v>1.3138787082498382E-3</v>
      </c>
      <c r="F32" s="34">
        <v>24426.85</v>
      </c>
      <c r="G32" s="38">
        <f t="shared" si="1"/>
        <v>-1.2697546582595698E-2</v>
      </c>
      <c r="L32" s="39" t="s">
        <v>152</v>
      </c>
      <c r="M32" s="39">
        <v>-0.19132286913654983</v>
      </c>
      <c r="N32" s="39">
        <v>0.24851413994536276</v>
      </c>
      <c r="O32" s="39">
        <v>-0.76986713584431554</v>
      </c>
      <c r="P32" s="39">
        <v>0.44317560793618527</v>
      </c>
      <c r="Q32" s="39">
        <v>-0.68430807321901377</v>
      </c>
      <c r="R32" s="39">
        <v>0.3016623349459141</v>
      </c>
      <c r="S32" s="39">
        <v>-0.68430807321901377</v>
      </c>
      <c r="T32" s="39">
        <v>0.3016623349459141</v>
      </c>
    </row>
    <row r="33" spans="2:7" ht="18.95" customHeight="1" x14ac:dyDescent="0.25">
      <c r="B33" s="36" t="s">
        <v>76</v>
      </c>
      <c r="C33">
        <v>740.95</v>
      </c>
      <c r="D33" s="38">
        <f t="shared" si="0"/>
        <v>2.3411602209944871E-2</v>
      </c>
      <c r="F33" s="34">
        <v>24870.1</v>
      </c>
      <c r="G33" s="38">
        <f t="shared" si="1"/>
        <v>1.8146015552557904E-2</v>
      </c>
    </row>
    <row r="34" spans="2:7" ht="18.95" customHeight="1" x14ac:dyDescent="0.25">
      <c r="B34" s="36">
        <v>45938</v>
      </c>
      <c r="C34">
        <v>776.25</v>
      </c>
      <c r="D34" s="38">
        <f t="shared" si="0"/>
        <v>4.7641541264592746E-2</v>
      </c>
      <c r="F34" s="34">
        <v>24631.3</v>
      </c>
      <c r="G34" s="38">
        <f t="shared" si="1"/>
        <v>-9.6018914278591661E-3</v>
      </c>
    </row>
    <row r="35" spans="2:7" ht="18.95" customHeight="1" x14ac:dyDescent="0.25">
      <c r="B35" s="36">
        <v>45724</v>
      </c>
      <c r="C35">
        <v>743.6</v>
      </c>
      <c r="D35" s="38">
        <f t="shared" si="0"/>
        <v>-4.2061191626408978E-2</v>
      </c>
      <c r="F35" s="34">
        <v>24363.3</v>
      </c>
      <c r="G35" s="38">
        <f t="shared" si="1"/>
        <v>-1.0880465099284198E-2</v>
      </c>
    </row>
    <row r="36" spans="2:7" ht="18.95" customHeight="1" x14ac:dyDescent="0.25">
      <c r="B36" s="36" t="s">
        <v>77</v>
      </c>
      <c r="C36">
        <v>741</v>
      </c>
      <c r="D36" s="38">
        <f t="shared" si="0"/>
        <v>-3.4965034965035446E-3</v>
      </c>
      <c r="F36" s="34">
        <v>24565.35</v>
      </c>
      <c r="G36" s="38">
        <f t="shared" si="1"/>
        <v>8.2932115107559046E-3</v>
      </c>
    </row>
    <row r="37" spans="2:7" ht="18.95" customHeight="1" x14ac:dyDescent="0.25">
      <c r="B37" s="36" t="s">
        <v>78</v>
      </c>
      <c r="C37">
        <v>742.45</v>
      </c>
      <c r="D37" s="38">
        <f t="shared" si="0"/>
        <v>1.9568151147100199E-3</v>
      </c>
      <c r="F37" s="34">
        <v>24837</v>
      </c>
      <c r="G37" s="38">
        <f t="shared" si="1"/>
        <v>1.1058258889045103E-2</v>
      </c>
    </row>
    <row r="38" spans="2:7" ht="18.95" customHeight="1" x14ac:dyDescent="0.25">
      <c r="B38" s="36" t="s">
        <v>79</v>
      </c>
      <c r="C38">
        <v>787.9</v>
      </c>
      <c r="D38" s="38">
        <f t="shared" si="0"/>
        <v>6.1216243518081859E-2</v>
      </c>
      <c r="F38" s="34">
        <v>24968.400000000001</v>
      </c>
      <c r="G38" s="38">
        <f t="shared" si="1"/>
        <v>5.2904940210170004E-3</v>
      </c>
    </row>
    <row r="39" spans="2:7" ht="18.95" customHeight="1" x14ac:dyDescent="0.25">
      <c r="B39" s="36">
        <v>45815</v>
      </c>
      <c r="C39">
        <v>799.25</v>
      </c>
      <c r="D39" s="38">
        <f t="shared" si="0"/>
        <v>1.4405381393577832E-2</v>
      </c>
      <c r="F39" s="34">
        <v>25149.85</v>
      </c>
      <c r="G39" s="38">
        <f t="shared" si="1"/>
        <v>7.267185722753533E-3</v>
      </c>
    </row>
    <row r="40" spans="2:7" ht="18.95" customHeight="1" x14ac:dyDescent="0.25">
      <c r="B40" s="36" t="s">
        <v>80</v>
      </c>
      <c r="C40">
        <v>796.1</v>
      </c>
      <c r="D40" s="38">
        <f t="shared" si="0"/>
        <v>-3.941194870190734E-3</v>
      </c>
      <c r="F40" s="34">
        <v>25461</v>
      </c>
      <c r="G40" s="38">
        <f t="shared" si="1"/>
        <v>1.2371843172026997E-2</v>
      </c>
    </row>
    <row r="41" spans="2:7" ht="18.95" customHeight="1" x14ac:dyDescent="0.25">
      <c r="B41" s="36" t="s">
        <v>81</v>
      </c>
      <c r="C41">
        <v>827.5</v>
      </c>
      <c r="D41" s="38">
        <f t="shared" si="0"/>
        <v>3.9442281120462219E-2</v>
      </c>
      <c r="F41" s="34">
        <v>25637.8</v>
      </c>
      <c r="G41" s="38">
        <f t="shared" si="1"/>
        <v>6.9439534975059836E-3</v>
      </c>
    </row>
    <row r="42" spans="2:7" ht="18.95" customHeight="1" x14ac:dyDescent="0.25">
      <c r="B42" s="36" t="s">
        <v>82</v>
      </c>
      <c r="C42">
        <v>804.05</v>
      </c>
      <c r="D42" s="38">
        <f t="shared" si="0"/>
        <v>-2.8338368580060447E-2</v>
      </c>
      <c r="F42" s="34">
        <v>25112.400000000001</v>
      </c>
      <c r="G42" s="38">
        <f t="shared" si="1"/>
        <v>-2.0493178041797622E-2</v>
      </c>
    </row>
    <row r="43" spans="2:7" ht="18.95" customHeight="1" x14ac:dyDescent="0.25">
      <c r="B43" s="36">
        <v>45875</v>
      </c>
      <c r="C43">
        <v>800.7</v>
      </c>
      <c r="D43" s="38">
        <f t="shared" si="0"/>
        <v>-4.1664075617187102E-3</v>
      </c>
      <c r="F43" s="34">
        <v>24718.6</v>
      </c>
      <c r="G43" s="38">
        <f t="shared" si="1"/>
        <v>-1.568149599401103E-2</v>
      </c>
    </row>
    <row r="44" spans="2:7" ht="18.95" customHeight="1" x14ac:dyDescent="0.25">
      <c r="B44" s="36">
        <v>45663</v>
      </c>
      <c r="C44">
        <v>786.4</v>
      </c>
      <c r="D44" s="38">
        <f t="shared" si="0"/>
        <v>-1.7859373048582539E-2</v>
      </c>
      <c r="F44" s="34">
        <v>25003.05</v>
      </c>
      <c r="G44" s="38">
        <f t="shared" si="1"/>
        <v>1.1507528743537332E-2</v>
      </c>
    </row>
    <row r="45" spans="2:7" ht="18.95" customHeight="1" x14ac:dyDescent="0.25">
      <c r="B45" s="36" t="s">
        <v>83</v>
      </c>
      <c r="C45">
        <v>819.7</v>
      </c>
      <c r="D45" s="38">
        <f t="shared" si="0"/>
        <v>4.2344862665310457E-2</v>
      </c>
      <c r="F45" s="34">
        <v>24750.7</v>
      </c>
      <c r="G45" s="38">
        <f t="shared" si="1"/>
        <v>-1.0092768682220754E-2</v>
      </c>
    </row>
    <row r="46" spans="2:7" ht="18.95" customHeight="1" x14ac:dyDescent="0.25">
      <c r="B46" s="36" t="s">
        <v>84</v>
      </c>
      <c r="C46">
        <v>797.3</v>
      </c>
      <c r="D46" s="38">
        <f t="shared" si="0"/>
        <v>-2.7327070879590187E-2</v>
      </c>
      <c r="F46" s="34">
        <v>24853.15</v>
      </c>
      <c r="G46" s="38">
        <f t="shared" si="1"/>
        <v>4.139276868937003E-3</v>
      </c>
    </row>
    <row r="47" spans="2:7" ht="18.95" customHeight="1" x14ac:dyDescent="0.25">
      <c r="B47" s="36">
        <v>45966</v>
      </c>
      <c r="C47">
        <v>734.5</v>
      </c>
      <c r="D47" s="38">
        <f t="shared" si="0"/>
        <v>-7.8765834692085757E-2</v>
      </c>
      <c r="F47" s="34">
        <v>25019.8</v>
      </c>
      <c r="G47" s="38">
        <f t="shared" si="1"/>
        <v>6.705387445856914E-3</v>
      </c>
    </row>
    <row r="48" spans="2:7" ht="18.95" customHeight="1" x14ac:dyDescent="0.25">
      <c r="B48" s="36">
        <v>45752</v>
      </c>
      <c r="C48">
        <v>751.6</v>
      </c>
      <c r="D48" s="38">
        <f t="shared" si="0"/>
        <v>2.32811436351259E-2</v>
      </c>
      <c r="F48" s="34">
        <v>24008</v>
      </c>
      <c r="G48" s="38">
        <f t="shared" si="1"/>
        <v>-4.0439971542538311E-2</v>
      </c>
    </row>
    <row r="49" spans="2:7" ht="18.95" customHeight="1" x14ac:dyDescent="0.25">
      <c r="B49" s="36" t="s">
        <v>85</v>
      </c>
      <c r="C49">
        <v>723.05</v>
      </c>
      <c r="D49" s="38">
        <f t="shared" si="0"/>
        <v>-3.7985630654603586E-2</v>
      </c>
      <c r="F49" s="34">
        <v>24346.7</v>
      </c>
      <c r="G49" s="38">
        <f t="shared" si="1"/>
        <v>1.4107797400866318E-2</v>
      </c>
    </row>
    <row r="50" spans="2:7" ht="18.95" customHeight="1" x14ac:dyDescent="0.25">
      <c r="B50" s="36" t="s">
        <v>86</v>
      </c>
      <c r="C50">
        <v>772.8</v>
      </c>
      <c r="D50" s="38">
        <f t="shared" si="0"/>
        <v>6.8805753405711823E-2</v>
      </c>
      <c r="F50" s="34">
        <v>24039.35</v>
      </c>
      <c r="G50" s="38">
        <f t="shared" si="1"/>
        <v>-1.2623887426222113E-2</v>
      </c>
    </row>
    <row r="51" spans="2:7" ht="18.95" customHeight="1" x14ac:dyDescent="0.25">
      <c r="B51" s="36" t="s">
        <v>87</v>
      </c>
      <c r="C51">
        <v>793.55</v>
      </c>
      <c r="D51" s="38">
        <f t="shared" si="0"/>
        <v>2.6850414078674945E-2</v>
      </c>
      <c r="F51" s="34">
        <v>23851.65</v>
      </c>
      <c r="G51" s="38">
        <f t="shared" si="1"/>
        <v>-7.8080314151587338E-3</v>
      </c>
    </row>
    <row r="52" spans="2:7" ht="18.95" customHeight="1" x14ac:dyDescent="0.25">
      <c r="B52" s="36">
        <v>45812</v>
      </c>
      <c r="C52">
        <v>777.9</v>
      </c>
      <c r="D52" s="38">
        <f t="shared" si="0"/>
        <v>-1.9721504631088127E-2</v>
      </c>
      <c r="F52" s="34">
        <v>22828.55</v>
      </c>
      <c r="G52" s="38">
        <f t="shared" si="1"/>
        <v>-4.2894307102443685E-2</v>
      </c>
    </row>
    <row r="53" spans="2:7" ht="18.95" customHeight="1" x14ac:dyDescent="0.25">
      <c r="B53" s="36" t="s">
        <v>88</v>
      </c>
      <c r="C53">
        <v>802.45</v>
      </c>
      <c r="D53" s="38">
        <f t="shared" si="0"/>
        <v>3.1559326391567222E-2</v>
      </c>
      <c r="F53" s="34">
        <v>22904.45</v>
      </c>
      <c r="G53" s="38">
        <f t="shared" si="1"/>
        <v>3.3247840971064591E-3</v>
      </c>
    </row>
    <row r="54" spans="2:7" ht="18.95" customHeight="1" x14ac:dyDescent="0.25">
      <c r="B54" s="36" t="s">
        <v>89</v>
      </c>
      <c r="C54">
        <v>765.65</v>
      </c>
      <c r="D54" s="38">
        <f t="shared" si="0"/>
        <v>-4.5859555112468198E-2</v>
      </c>
      <c r="F54" s="34">
        <v>23519.35</v>
      </c>
      <c r="G54" s="38">
        <f t="shared" si="1"/>
        <v>2.6846311524616251E-2</v>
      </c>
    </row>
    <row r="55" spans="2:7" ht="18.95" customHeight="1" x14ac:dyDescent="0.25">
      <c r="B55" s="36" t="s">
        <v>90</v>
      </c>
      <c r="C55">
        <v>775.85</v>
      </c>
      <c r="D55" s="38">
        <f t="shared" si="0"/>
        <v>1.3322013975053837E-2</v>
      </c>
      <c r="F55" s="34">
        <v>23350.400000000001</v>
      </c>
      <c r="G55" s="38">
        <f t="shared" si="1"/>
        <v>-7.1834468214468927E-3</v>
      </c>
    </row>
    <row r="56" spans="2:7" ht="18.95" customHeight="1" x14ac:dyDescent="0.25">
      <c r="B56" s="36">
        <v>45903</v>
      </c>
      <c r="C56">
        <v>780.6</v>
      </c>
      <c r="D56" s="38">
        <f t="shared" si="0"/>
        <v>6.1223174582716311E-3</v>
      </c>
      <c r="F56" s="34">
        <v>22397.200000000001</v>
      </c>
      <c r="G56" s="38">
        <f t="shared" si="1"/>
        <v>-4.0821570508428162E-2</v>
      </c>
    </row>
    <row r="57" spans="2:7" ht="18.95" customHeight="1" x14ac:dyDescent="0.25">
      <c r="B57" s="36">
        <v>45691</v>
      </c>
      <c r="C57">
        <v>778.4</v>
      </c>
      <c r="D57" s="38">
        <f t="shared" si="0"/>
        <v>-2.8183448629259811E-3</v>
      </c>
      <c r="F57" s="34">
        <v>22552.5</v>
      </c>
      <c r="G57" s="38">
        <f t="shared" si="1"/>
        <v>6.9339024520922443E-3</v>
      </c>
    </row>
    <row r="58" spans="2:7" ht="18.95" customHeight="1" x14ac:dyDescent="0.25">
      <c r="B58" s="36" t="s">
        <v>91</v>
      </c>
      <c r="C58">
        <v>832.95</v>
      </c>
      <c r="D58" s="38">
        <f t="shared" si="0"/>
        <v>7.0079650565262108E-2</v>
      </c>
      <c r="F58" s="34">
        <v>22124.7</v>
      </c>
      <c r="G58" s="38">
        <f t="shared" si="1"/>
        <v>-1.8969072164948475E-2</v>
      </c>
    </row>
    <row r="59" spans="2:7" ht="18.95" customHeight="1" x14ac:dyDescent="0.25">
      <c r="B59" s="36" t="s">
        <v>92</v>
      </c>
      <c r="C59">
        <v>843.15</v>
      </c>
      <c r="D59" s="38">
        <f t="shared" si="0"/>
        <v>1.2245632991175759E-2</v>
      </c>
      <c r="F59" s="34">
        <v>22795.9</v>
      </c>
      <c r="G59" s="38">
        <f t="shared" si="1"/>
        <v>3.0337134514818231E-2</v>
      </c>
    </row>
    <row r="60" spans="2:7" ht="18.95" customHeight="1" x14ac:dyDescent="0.25">
      <c r="B60" s="36">
        <v>45902</v>
      </c>
      <c r="C60">
        <v>872.5</v>
      </c>
      <c r="D60" s="38">
        <f t="shared" si="0"/>
        <v>3.4809938919527994E-2</v>
      </c>
      <c r="F60" s="34">
        <v>22929.25</v>
      </c>
      <c r="G60" s="38">
        <f t="shared" si="1"/>
        <v>5.8497361367613188E-3</v>
      </c>
    </row>
    <row r="61" spans="2:7" ht="18.95" customHeight="1" x14ac:dyDescent="0.25">
      <c r="B61" s="36">
        <v>45690</v>
      </c>
      <c r="C61">
        <v>880.05</v>
      </c>
      <c r="D61" s="38">
        <f t="shared" si="0"/>
        <v>8.6532951289397531E-3</v>
      </c>
      <c r="F61" s="34">
        <v>23559.95</v>
      </c>
      <c r="G61" s="38">
        <f t="shared" si="1"/>
        <v>2.7506351058146361E-2</v>
      </c>
    </row>
    <row r="62" spans="2:7" ht="18.95" customHeight="1" x14ac:dyDescent="0.25">
      <c r="B62" s="36" t="s">
        <v>93</v>
      </c>
      <c r="C62">
        <v>935.7</v>
      </c>
      <c r="D62" s="38">
        <f t="shared" si="0"/>
        <v>6.3235043463439666E-2</v>
      </c>
      <c r="F62" s="34">
        <v>23508.400000000001</v>
      </c>
      <c r="G62" s="38">
        <f t="shared" si="1"/>
        <v>-2.188035203809835E-3</v>
      </c>
    </row>
    <row r="63" spans="2:7" ht="18.95" customHeight="1" x14ac:dyDescent="0.25">
      <c r="B63" s="36" t="s">
        <v>94</v>
      </c>
      <c r="C63">
        <v>933.8</v>
      </c>
      <c r="D63" s="38">
        <f t="shared" si="0"/>
        <v>-2.0305653521428546E-3</v>
      </c>
      <c r="F63" s="34">
        <v>23092.2</v>
      </c>
      <c r="G63" s="38">
        <f t="shared" si="1"/>
        <v>-1.7704309948784247E-2</v>
      </c>
    </row>
    <row r="64" spans="2:7" ht="18.95" customHeight="1" x14ac:dyDescent="0.25">
      <c r="B64" s="36">
        <v>45992</v>
      </c>
      <c r="C64" s="34">
        <v>1132.5999999999999</v>
      </c>
      <c r="D64" s="38">
        <f t="shared" si="0"/>
        <v>0.21289355322338821</v>
      </c>
      <c r="F64" s="34">
        <v>23203.200000000001</v>
      </c>
      <c r="G64" s="38">
        <f t="shared" si="1"/>
        <v>4.8068178865590117E-3</v>
      </c>
    </row>
    <row r="65" spans="2:7" ht="18.95" customHeight="1" x14ac:dyDescent="0.25">
      <c r="B65" s="36">
        <v>45778</v>
      </c>
      <c r="C65" s="34">
        <v>1194.2</v>
      </c>
      <c r="D65" s="38">
        <f t="shared" si="0"/>
        <v>5.4388133498145974E-2</v>
      </c>
      <c r="F65" s="34">
        <v>23431.5</v>
      </c>
      <c r="G65" s="38">
        <f t="shared" si="1"/>
        <v>9.8391601158460684E-3</v>
      </c>
    </row>
    <row r="66" spans="2:7" ht="18.95" customHeight="1" x14ac:dyDescent="0.25">
      <c r="B66" s="36" t="s">
        <v>95</v>
      </c>
      <c r="C66" s="34">
        <v>1180.7</v>
      </c>
      <c r="D66" s="38">
        <f t="shared" si="0"/>
        <v>-1.1304639088929869E-2</v>
      </c>
      <c r="F66" s="34">
        <v>24004.75</v>
      </c>
      <c r="G66" s="38">
        <f t="shared" si="1"/>
        <v>2.4464929688666981E-2</v>
      </c>
    </row>
    <row r="67" spans="2:7" ht="18.95" customHeight="1" x14ac:dyDescent="0.25">
      <c r="B67" s="36" t="s">
        <v>96</v>
      </c>
      <c r="C67" s="34">
        <v>1257.45</v>
      </c>
      <c r="D67" s="38">
        <f t="shared" si="0"/>
        <v>6.5003811298382397E-2</v>
      </c>
      <c r="F67" s="34">
        <v>23813.4</v>
      </c>
      <c r="G67" s="38">
        <f t="shared" si="1"/>
        <v>-7.9713390058216982E-3</v>
      </c>
    </row>
    <row r="68" spans="2:7" ht="18.95" customHeight="1" x14ac:dyDescent="0.25">
      <c r="B68" s="36" t="s">
        <v>97</v>
      </c>
      <c r="C68" s="34">
        <v>1250.3499999999999</v>
      </c>
      <c r="D68" s="38">
        <f t="shared" si="0"/>
        <v>-5.6463477673069917E-3</v>
      </c>
      <c r="F68" s="34">
        <v>23587.5</v>
      </c>
      <c r="G68" s="38">
        <f t="shared" si="1"/>
        <v>-9.4862556375822082E-3</v>
      </c>
    </row>
    <row r="69" spans="2:7" ht="18.95" customHeight="1" x14ac:dyDescent="0.25">
      <c r="B69" s="36">
        <v>45516</v>
      </c>
      <c r="C69" s="34">
        <v>1299.05</v>
      </c>
      <c r="D69" s="38">
        <f t="shared" si="0"/>
        <v>3.894909425360904E-2</v>
      </c>
      <c r="F69" s="34">
        <v>24768.3</v>
      </c>
      <c r="G69" s="38">
        <f t="shared" si="1"/>
        <v>5.0060413354531041E-2</v>
      </c>
    </row>
    <row r="70" spans="2:7" ht="18.95" customHeight="1" x14ac:dyDescent="0.25">
      <c r="B70" s="36">
        <v>45303</v>
      </c>
      <c r="C70" s="34">
        <v>1356.8</v>
      </c>
      <c r="D70" s="38">
        <f t="shared" si="0"/>
        <v>4.4455563681151666E-2</v>
      </c>
      <c r="F70" s="34">
        <v>24677.8</v>
      </c>
      <c r="G70" s="38">
        <f t="shared" si="1"/>
        <v>-3.653864011660013E-3</v>
      </c>
    </row>
    <row r="71" spans="2:7" ht="18.95" customHeight="1" x14ac:dyDescent="0.25">
      <c r="B71" s="36" t="s">
        <v>98</v>
      </c>
      <c r="C71" s="34">
        <v>1339.35</v>
      </c>
      <c r="D71" s="38">
        <f t="shared" si="0"/>
        <v>-1.2861143867924585E-2</v>
      </c>
      <c r="F71" s="34">
        <v>24131.1</v>
      </c>
      <c r="G71" s="38">
        <f t="shared" si="1"/>
        <v>-2.2153514494809179E-2</v>
      </c>
    </row>
    <row r="72" spans="2:7" ht="18.95" customHeight="1" x14ac:dyDescent="0.25">
      <c r="B72" s="36" t="s">
        <v>99</v>
      </c>
      <c r="C72" s="34">
        <v>1434.2</v>
      </c>
      <c r="D72" s="38">
        <f t="shared" si="0"/>
        <v>7.0817934072497923E-2</v>
      </c>
      <c r="F72" s="34">
        <v>23907.25</v>
      </c>
      <c r="G72" s="38">
        <f t="shared" si="1"/>
        <v>-9.2764109385812255E-3</v>
      </c>
    </row>
    <row r="73" spans="2:7" ht="18.95" customHeight="1" x14ac:dyDescent="0.25">
      <c r="B73" s="36">
        <v>45576</v>
      </c>
      <c r="C73" s="34">
        <v>1388.55</v>
      </c>
      <c r="D73" s="38">
        <f t="shared" si="0"/>
        <v>-3.1829591409845315E-2</v>
      </c>
      <c r="F73" s="34">
        <v>23532.7</v>
      </c>
      <c r="G73" s="38">
        <f t="shared" si="1"/>
        <v>-1.5666795637306663E-2</v>
      </c>
    </row>
    <row r="74" spans="2:7" ht="18.95" customHeight="1" x14ac:dyDescent="0.25">
      <c r="B74" s="36">
        <v>45362</v>
      </c>
      <c r="C74" s="34">
        <v>1321.35</v>
      </c>
      <c r="D74" s="38">
        <f t="shared" si="0"/>
        <v>-4.8395808577292865E-2</v>
      </c>
      <c r="F74" s="34">
        <v>24148.2</v>
      </c>
      <c r="G74" s="38">
        <f t="shared" si="1"/>
        <v>2.6155094825498049E-2</v>
      </c>
    </row>
    <row r="75" spans="2:7" ht="18.95" customHeight="1" x14ac:dyDescent="0.25">
      <c r="B75" s="36" t="s">
        <v>100</v>
      </c>
      <c r="C75" s="34">
        <v>1400.5</v>
      </c>
      <c r="D75" s="38">
        <f t="shared" si="0"/>
        <v>5.9900858969992976E-2</v>
      </c>
      <c r="F75" s="34">
        <v>24304.35</v>
      </c>
      <c r="G75" s="38">
        <f t="shared" si="1"/>
        <v>6.4663204710908584E-3</v>
      </c>
    </row>
    <row r="76" spans="2:7" ht="18.95" customHeight="1" x14ac:dyDescent="0.25">
      <c r="B76" s="36" t="s">
        <v>101</v>
      </c>
      <c r="C76" s="34">
        <v>1395.3</v>
      </c>
      <c r="D76" s="38">
        <f t="shared" ref="D76:D113" si="2">(C76/C75)-1</f>
        <v>-3.7129596572652579E-3</v>
      </c>
      <c r="F76" s="34">
        <v>24180.799999999999</v>
      </c>
      <c r="G76" s="38">
        <f t="shared" ref="G76:G113" si="3">(F76/F75)-1</f>
        <v>-5.0834521392261189E-3</v>
      </c>
    </row>
    <row r="77" spans="2:7" ht="18.95" customHeight="1" x14ac:dyDescent="0.25">
      <c r="B77" s="36" t="s">
        <v>102</v>
      </c>
      <c r="C77" s="34">
        <v>1269.3499999999999</v>
      </c>
      <c r="D77" s="38">
        <f t="shared" si="2"/>
        <v>-9.0267326023077521E-2</v>
      </c>
      <c r="F77" s="34">
        <v>24854.05</v>
      </c>
      <c r="G77" s="38">
        <f t="shared" si="3"/>
        <v>2.7842337722490562E-2</v>
      </c>
    </row>
    <row r="78" spans="2:7" ht="18.95" customHeight="1" x14ac:dyDescent="0.25">
      <c r="B78" s="36">
        <v>45453</v>
      </c>
      <c r="C78" s="34">
        <v>1325.35</v>
      </c>
      <c r="D78" s="38">
        <f t="shared" si="2"/>
        <v>4.4117067790601538E-2</v>
      </c>
      <c r="F78" s="34">
        <v>24964.25</v>
      </c>
      <c r="G78" s="38">
        <f t="shared" si="3"/>
        <v>4.4338850207512603E-3</v>
      </c>
    </row>
    <row r="79" spans="2:7" ht="18.95" customHeight="1" x14ac:dyDescent="0.25">
      <c r="B79" s="36" t="s">
        <v>103</v>
      </c>
      <c r="C79" s="34">
        <v>1320.05</v>
      </c>
      <c r="D79" s="38">
        <f t="shared" si="2"/>
        <v>-3.9989436752555507E-3</v>
      </c>
      <c r="F79" s="34">
        <v>25014.6</v>
      </c>
      <c r="G79" s="38">
        <f t="shared" si="3"/>
        <v>2.0168841443264363E-3</v>
      </c>
    </row>
    <row r="80" spans="2:7" ht="18.95" customHeight="1" x14ac:dyDescent="0.25">
      <c r="B80" s="36" t="s">
        <v>104</v>
      </c>
      <c r="C80" s="34">
        <v>1298.9000000000001</v>
      </c>
      <c r="D80" s="38">
        <f t="shared" si="2"/>
        <v>-1.6022120374228122E-2</v>
      </c>
      <c r="F80" s="34">
        <v>26178.95</v>
      </c>
      <c r="G80" s="38">
        <f t="shared" si="3"/>
        <v>4.6546816659071233E-2</v>
      </c>
    </row>
    <row r="81" spans="2:7" ht="18.95" customHeight="1" x14ac:dyDescent="0.25">
      <c r="B81" s="36" t="s">
        <v>105</v>
      </c>
      <c r="C81" s="34">
        <v>1350.7</v>
      </c>
      <c r="D81" s="38">
        <f t="shared" si="2"/>
        <v>3.9879898375548395E-2</v>
      </c>
      <c r="F81" s="34">
        <v>25790.95</v>
      </c>
      <c r="G81" s="38">
        <f t="shared" si="3"/>
        <v>-1.4821068071866894E-2</v>
      </c>
    </row>
    <row r="82" spans="2:7" ht="18.95" customHeight="1" x14ac:dyDescent="0.25">
      <c r="B82" s="36">
        <v>45513</v>
      </c>
      <c r="C82" s="34">
        <v>1292.3</v>
      </c>
      <c r="D82" s="38">
        <f t="shared" si="2"/>
        <v>-4.3236840156955725E-2</v>
      </c>
      <c r="F82" s="34">
        <v>25356.5</v>
      </c>
      <c r="G82" s="38">
        <f t="shared" si="3"/>
        <v>-1.684505611464493E-2</v>
      </c>
    </row>
    <row r="83" spans="2:7" ht="18.95" customHeight="1" x14ac:dyDescent="0.25">
      <c r="B83" s="36">
        <v>45300</v>
      </c>
      <c r="C83" s="34">
        <v>1286.8</v>
      </c>
      <c r="D83" s="38">
        <f t="shared" si="2"/>
        <v>-4.2559777141530919E-3</v>
      </c>
      <c r="F83" s="34">
        <v>24852.15</v>
      </c>
      <c r="G83" s="38">
        <f t="shared" si="3"/>
        <v>-1.9890363417664036E-2</v>
      </c>
    </row>
    <row r="84" spans="2:7" ht="18.95" customHeight="1" x14ac:dyDescent="0.25">
      <c r="B84" s="36" t="s">
        <v>106</v>
      </c>
      <c r="C84" s="34">
        <v>1249.25</v>
      </c>
      <c r="D84" s="38">
        <f t="shared" si="2"/>
        <v>-2.9180913894933158E-2</v>
      </c>
      <c r="F84" s="34">
        <v>25235.9</v>
      </c>
      <c r="G84" s="38">
        <f t="shared" si="3"/>
        <v>1.544131996628062E-2</v>
      </c>
    </row>
    <row r="85" spans="2:7" ht="18.95" customHeight="1" x14ac:dyDescent="0.25">
      <c r="B85" s="36" t="s">
        <v>107</v>
      </c>
      <c r="C85" s="34">
        <v>1250.4000000000001</v>
      </c>
      <c r="D85" s="38">
        <f t="shared" si="2"/>
        <v>9.2055233139887171E-4</v>
      </c>
      <c r="F85" s="34">
        <v>24823.15</v>
      </c>
      <c r="G85" s="38">
        <f t="shared" si="3"/>
        <v>-1.6355667917530181E-2</v>
      </c>
    </row>
    <row r="86" spans="2:7" ht="18.95" customHeight="1" x14ac:dyDescent="0.25">
      <c r="B86" s="36">
        <v>45604</v>
      </c>
      <c r="C86" s="34">
        <v>1174.25</v>
      </c>
      <c r="D86" s="38">
        <f t="shared" si="2"/>
        <v>-6.0900511836212479E-2</v>
      </c>
      <c r="F86" s="34">
        <v>24541.15</v>
      </c>
      <c r="G86" s="38">
        <f t="shared" si="3"/>
        <v>-1.1360363209342861E-2</v>
      </c>
    </row>
    <row r="87" spans="2:7" ht="18.95" customHeight="1" x14ac:dyDescent="0.25">
      <c r="B87" s="36">
        <v>45390</v>
      </c>
      <c r="C87" s="34">
        <v>1121.5</v>
      </c>
      <c r="D87" s="38">
        <f t="shared" si="2"/>
        <v>-4.4922290823930178E-2</v>
      </c>
      <c r="F87" s="34">
        <v>24367.5</v>
      </c>
      <c r="G87" s="38">
        <f t="shared" si="3"/>
        <v>-7.0758705276647849E-3</v>
      </c>
    </row>
    <row r="88" spans="2:7" ht="18.95" customHeight="1" x14ac:dyDescent="0.25">
      <c r="B88" s="36" t="s">
        <v>108</v>
      </c>
      <c r="C88" s="34">
        <v>1121.4000000000001</v>
      </c>
      <c r="D88" s="38">
        <f t="shared" si="2"/>
        <v>-8.9166295140330476E-5</v>
      </c>
      <c r="F88" s="34">
        <v>24717.7</v>
      </c>
      <c r="G88" s="38">
        <f t="shared" si="3"/>
        <v>1.4371601518415877E-2</v>
      </c>
    </row>
    <row r="89" spans="2:7" ht="18.95" customHeight="1" x14ac:dyDescent="0.25">
      <c r="B89" s="36" t="s">
        <v>109</v>
      </c>
      <c r="C89" s="34">
        <v>1138.25</v>
      </c>
      <c r="D89" s="38">
        <f t="shared" si="2"/>
        <v>1.5025860531478363E-2</v>
      </c>
      <c r="F89" s="34">
        <v>24834.85</v>
      </c>
      <c r="G89" s="38">
        <f t="shared" si="3"/>
        <v>4.7395186445340354E-3</v>
      </c>
    </row>
    <row r="90" spans="2:7" ht="18.95" customHeight="1" x14ac:dyDescent="0.25">
      <c r="B90" s="36" t="s">
        <v>110</v>
      </c>
      <c r="C90" s="34">
        <v>1082.8</v>
      </c>
      <c r="D90" s="38">
        <f t="shared" si="2"/>
        <v>-4.8715132879420198E-2</v>
      </c>
      <c r="F90" s="34">
        <v>24530.9</v>
      </c>
      <c r="G90" s="38">
        <f t="shared" si="3"/>
        <v>-1.2238849842056476E-2</v>
      </c>
    </row>
    <row r="91" spans="2:7" ht="18.95" customHeight="1" x14ac:dyDescent="0.25">
      <c r="B91" s="36">
        <v>45480</v>
      </c>
      <c r="C91" s="34">
        <v>1036.3</v>
      </c>
      <c r="D91" s="38">
        <f t="shared" si="2"/>
        <v>-4.2944218692279268E-2</v>
      </c>
      <c r="F91" s="34">
        <v>24502.15</v>
      </c>
      <c r="G91" s="38">
        <f t="shared" si="3"/>
        <v>-1.1719912436967128E-3</v>
      </c>
    </row>
    <row r="92" spans="2:7" ht="18.95" customHeight="1" x14ac:dyDescent="0.25">
      <c r="B92" s="36" t="s">
        <v>111</v>
      </c>
      <c r="C92" s="34">
        <v>1026.0999999999999</v>
      </c>
      <c r="D92" s="38">
        <f t="shared" si="2"/>
        <v>-9.8427096400656167E-3</v>
      </c>
      <c r="F92" s="34">
        <v>24323.85</v>
      </c>
      <c r="G92" s="38">
        <f t="shared" si="3"/>
        <v>-7.2769124342150215E-3</v>
      </c>
    </row>
    <row r="93" spans="2:7" ht="18.95" customHeight="1" x14ac:dyDescent="0.25">
      <c r="B93" s="36" t="s">
        <v>112</v>
      </c>
      <c r="C93" s="34">
        <v>1094.6500000000001</v>
      </c>
      <c r="D93" s="38">
        <f t="shared" si="2"/>
        <v>6.6806354156515146E-2</v>
      </c>
      <c r="F93" s="34">
        <v>24010.6</v>
      </c>
      <c r="G93" s="38">
        <f t="shared" si="3"/>
        <v>-1.2878306682535867E-2</v>
      </c>
    </row>
    <row r="94" spans="2:7" ht="18.95" customHeight="1" x14ac:dyDescent="0.25">
      <c r="B94" s="36" t="s">
        <v>113</v>
      </c>
      <c r="C94" s="34">
        <v>1051.6500000000001</v>
      </c>
      <c r="D94" s="38">
        <f t="shared" si="2"/>
        <v>-3.9281962271045523E-2</v>
      </c>
      <c r="F94" s="34">
        <v>23501.1</v>
      </c>
      <c r="G94" s="38">
        <f t="shared" si="3"/>
        <v>-2.1219794590722429E-2</v>
      </c>
    </row>
    <row r="95" spans="2:7" ht="18.95" customHeight="1" x14ac:dyDescent="0.25">
      <c r="B95" s="36">
        <v>45541</v>
      </c>
      <c r="C95" s="34">
        <v>1120.1500000000001</v>
      </c>
      <c r="D95" s="38">
        <f t="shared" si="2"/>
        <v>6.5135739076688903E-2</v>
      </c>
      <c r="F95" s="34">
        <v>23465.599999999999</v>
      </c>
      <c r="G95" s="38">
        <f t="shared" si="3"/>
        <v>-1.5105675904532045E-3</v>
      </c>
    </row>
    <row r="96" spans="2:7" ht="18.95" customHeight="1" x14ac:dyDescent="0.25">
      <c r="B96" s="36">
        <v>45328</v>
      </c>
      <c r="C96" s="34">
        <v>1147.6500000000001</v>
      </c>
      <c r="D96" s="38">
        <f t="shared" si="2"/>
        <v>2.4550283444181531E-2</v>
      </c>
      <c r="F96" s="34">
        <v>23290.15</v>
      </c>
      <c r="G96" s="38">
        <f t="shared" si="3"/>
        <v>-7.4769023591980677E-3</v>
      </c>
    </row>
    <row r="97" spans="2:7" ht="18.95" customHeight="1" x14ac:dyDescent="0.25">
      <c r="B97" s="36" t="s">
        <v>114</v>
      </c>
      <c r="C97" s="34">
        <v>1114.5</v>
      </c>
      <c r="D97" s="38">
        <f t="shared" si="2"/>
        <v>-2.8885113057116829E-2</v>
      </c>
      <c r="F97" s="34">
        <v>22530.7</v>
      </c>
      <c r="G97" s="38">
        <f t="shared" si="3"/>
        <v>-3.2608205614820029E-2</v>
      </c>
    </row>
    <row r="98" spans="2:7" ht="18.95" customHeight="1" x14ac:dyDescent="0.25">
      <c r="B98" s="36" t="s">
        <v>115</v>
      </c>
      <c r="C98" s="34">
        <v>1043.25</v>
      </c>
      <c r="D98" s="38">
        <f t="shared" si="2"/>
        <v>-6.3930013458950219E-2</v>
      </c>
      <c r="F98" s="34">
        <v>22957.1</v>
      </c>
      <c r="G98" s="38">
        <f t="shared" si="3"/>
        <v>1.8925288606212787E-2</v>
      </c>
    </row>
    <row r="99" spans="2:7" ht="18.95" customHeight="1" x14ac:dyDescent="0.25">
      <c r="B99" s="36">
        <v>45631</v>
      </c>
      <c r="C99" s="34">
        <v>1023.2</v>
      </c>
      <c r="D99" s="38">
        <f t="shared" si="2"/>
        <v>-1.9218787443086471E-2</v>
      </c>
      <c r="F99" s="34">
        <v>22466.1</v>
      </c>
      <c r="G99" s="38">
        <f t="shared" si="3"/>
        <v>-2.1387718832082458E-2</v>
      </c>
    </row>
    <row r="100" spans="2:7" ht="18.95" customHeight="1" x14ac:dyDescent="0.25">
      <c r="B100" s="36">
        <v>45417</v>
      </c>
      <c r="C100" s="34">
        <v>1044</v>
      </c>
      <c r="D100" s="38">
        <f t="shared" si="2"/>
        <v>2.0328381548084362E-2</v>
      </c>
      <c r="F100" s="34">
        <v>22055.200000000001</v>
      </c>
      <c r="G100" s="38">
        <f t="shared" si="3"/>
        <v>-1.8289778822314418E-2</v>
      </c>
    </row>
    <row r="101" spans="2:7" ht="18.95" customHeight="1" x14ac:dyDescent="0.25">
      <c r="B101" s="36" t="s">
        <v>116</v>
      </c>
      <c r="C101">
        <v>983.55</v>
      </c>
      <c r="D101" s="38">
        <f t="shared" si="2"/>
        <v>-5.790229885057474E-2</v>
      </c>
      <c r="F101" s="34">
        <v>22475.85</v>
      </c>
      <c r="G101" s="38">
        <f t="shared" si="3"/>
        <v>1.9072599659037293E-2</v>
      </c>
    </row>
    <row r="102" spans="2:7" ht="18.95" customHeight="1" x14ac:dyDescent="0.25">
      <c r="B102" s="36" t="s">
        <v>117</v>
      </c>
      <c r="C102">
        <v>932.6</v>
      </c>
      <c r="D102" s="38">
        <f t="shared" si="2"/>
        <v>-5.1802145290020807E-2</v>
      </c>
      <c r="F102" s="34">
        <v>22419.95</v>
      </c>
      <c r="G102" s="38">
        <f t="shared" si="3"/>
        <v>-2.4871139467471659E-3</v>
      </c>
    </row>
    <row r="103" spans="2:7" ht="18.95" customHeight="1" x14ac:dyDescent="0.25">
      <c r="B103" s="36" t="s">
        <v>118</v>
      </c>
      <c r="C103">
        <v>937.55</v>
      </c>
      <c r="D103" s="38">
        <f t="shared" si="2"/>
        <v>5.3077417971263419E-3</v>
      </c>
      <c r="F103" s="34">
        <v>22147</v>
      </c>
      <c r="G103" s="38">
        <f t="shared" si="3"/>
        <v>-1.2174425009868428E-2</v>
      </c>
    </row>
    <row r="104" spans="2:7" ht="18.95" customHeight="1" x14ac:dyDescent="0.25">
      <c r="B104" s="36">
        <v>45477</v>
      </c>
      <c r="C104">
        <v>918.3</v>
      </c>
      <c r="D104" s="38">
        <f t="shared" si="2"/>
        <v>-2.0532238280625004E-2</v>
      </c>
      <c r="F104" s="34">
        <v>22519.4</v>
      </c>
      <c r="G104" s="38">
        <f t="shared" si="3"/>
        <v>1.6814918499119536E-2</v>
      </c>
    </row>
    <row r="105" spans="2:7" ht="18.95" customHeight="1" x14ac:dyDescent="0.25">
      <c r="B105" s="36" t="s">
        <v>119</v>
      </c>
      <c r="C105">
        <v>914.35</v>
      </c>
      <c r="D105" s="38">
        <f t="shared" si="2"/>
        <v>-4.3014265490579628E-3</v>
      </c>
      <c r="F105" s="34">
        <v>22513.7</v>
      </c>
      <c r="G105" s="38">
        <f t="shared" si="3"/>
        <v>-2.5311509187642134E-4</v>
      </c>
    </row>
    <row r="106" spans="2:7" ht="18.95" customHeight="1" x14ac:dyDescent="0.25">
      <c r="B106" s="36" t="s">
        <v>120</v>
      </c>
      <c r="C106">
        <v>909.65</v>
      </c>
      <c r="D106" s="38">
        <f t="shared" si="2"/>
        <v>-5.140263575217463E-3</v>
      </c>
      <c r="F106" s="34">
        <v>22326.9</v>
      </c>
      <c r="G106" s="38">
        <f t="shared" si="3"/>
        <v>-8.2971701674979803E-3</v>
      </c>
    </row>
    <row r="107" spans="2:7" ht="18.95" customHeight="1" x14ac:dyDescent="0.25">
      <c r="B107" s="36" t="s">
        <v>121</v>
      </c>
      <c r="C107">
        <v>926.5</v>
      </c>
      <c r="D107" s="38">
        <f t="shared" si="2"/>
        <v>1.8523607981091761E-2</v>
      </c>
      <c r="F107" s="34">
        <v>22096.75</v>
      </c>
      <c r="G107" s="38">
        <f t="shared" si="3"/>
        <v>-1.0308193255669229E-2</v>
      </c>
    </row>
    <row r="108" spans="2:7" ht="18.95" customHeight="1" x14ac:dyDescent="0.25">
      <c r="B108" s="36">
        <v>45568</v>
      </c>
      <c r="C108">
        <v>933</v>
      </c>
      <c r="D108" s="38">
        <f t="shared" si="2"/>
        <v>7.0156502968159451E-3</v>
      </c>
      <c r="F108" s="34">
        <v>22023.35</v>
      </c>
      <c r="G108" s="38">
        <f t="shared" si="3"/>
        <v>-3.3217554617761547E-3</v>
      </c>
    </row>
    <row r="109" spans="2:7" ht="18.95" customHeight="1" x14ac:dyDescent="0.25">
      <c r="B109" s="36">
        <v>45354</v>
      </c>
      <c r="C109">
        <v>925.4</v>
      </c>
      <c r="D109" s="38">
        <f t="shared" si="2"/>
        <v>-8.1457663451233175E-3</v>
      </c>
      <c r="F109" s="34">
        <v>22493.55</v>
      </c>
      <c r="G109" s="38">
        <f t="shared" si="3"/>
        <v>2.1350067087886337E-2</v>
      </c>
    </row>
    <row r="110" spans="2:7" ht="18.95" customHeight="1" x14ac:dyDescent="0.25">
      <c r="B110" s="36" t="s">
        <v>122</v>
      </c>
      <c r="C110">
        <v>965.35</v>
      </c>
      <c r="D110" s="38">
        <f t="shared" si="2"/>
        <v>4.3170520855846162E-2</v>
      </c>
      <c r="F110" s="34">
        <v>22338.75</v>
      </c>
      <c r="G110" s="38">
        <f t="shared" si="3"/>
        <v>-6.8819728322118134E-3</v>
      </c>
    </row>
    <row r="111" spans="2:7" ht="18.95" customHeight="1" x14ac:dyDescent="0.25">
      <c r="B111" s="36" t="s">
        <v>123</v>
      </c>
      <c r="C111" s="34">
        <v>1024.3</v>
      </c>
      <c r="D111" s="38">
        <f t="shared" si="2"/>
        <v>6.1065934635106345E-2</v>
      </c>
      <c r="F111" s="34">
        <v>22212.7</v>
      </c>
      <c r="G111" s="38">
        <f t="shared" si="3"/>
        <v>-5.6426612948351496E-3</v>
      </c>
    </row>
    <row r="112" spans="2:7" ht="18.95" customHeight="1" x14ac:dyDescent="0.25">
      <c r="B112" s="36">
        <v>45598</v>
      </c>
      <c r="C112">
        <v>985.2</v>
      </c>
      <c r="D112" s="38">
        <f t="shared" si="2"/>
        <v>-3.8172410426632775E-2</v>
      </c>
      <c r="F112" s="34">
        <v>22040.7</v>
      </c>
      <c r="G112" s="38">
        <f t="shared" si="3"/>
        <v>-7.7433180117680855E-3</v>
      </c>
    </row>
    <row r="113" spans="2:7" ht="18.95" customHeight="1" x14ac:dyDescent="0.25">
      <c r="B113" s="36">
        <v>45384</v>
      </c>
      <c r="C113">
        <v>972.4</v>
      </c>
      <c r="D113" s="38">
        <f t="shared" si="2"/>
        <v>-1.299228583028833E-2</v>
      </c>
      <c r="F113" s="34">
        <v>21782.5</v>
      </c>
      <c r="G113" s="38">
        <f t="shared" si="3"/>
        <v>-1.1714691457167858E-2</v>
      </c>
    </row>
  </sheetData>
  <mergeCells count="3">
    <mergeCell ref="B7:D7"/>
    <mergeCell ref="F7:G7"/>
    <mergeCell ref="I7:J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Data Sheet</vt:lpstr>
      <vt:lpstr>DCF</vt:lpstr>
      <vt:lpstr>Beta - Comps</vt:lpstr>
      <vt:lpstr>Raw FS</vt:lpstr>
      <vt:lpstr>Intrinsic growth</vt:lpstr>
      <vt:lpstr>Trent- Beta Regression</vt:lpstr>
      <vt:lpstr>DMART- Beta Regression</vt:lpstr>
      <vt:lpstr>VMM - Beta Regression </vt:lpstr>
      <vt:lpstr>ABLBL- Beta Regression</vt:lpstr>
      <vt:lpstr>Manyavar- Beta Regression</vt:lpstr>
      <vt:lpstr>Annual_Growth_Tapering</vt:lpstr>
      <vt:lpstr>UPDATE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singh</dc:creator>
  <cp:lastModifiedBy>deepak singh</cp:lastModifiedBy>
  <cp:lastPrinted>2026-02-04T20:15:30Z</cp:lastPrinted>
  <dcterms:created xsi:type="dcterms:W3CDTF">2026-01-31T13:04:07Z</dcterms:created>
  <dcterms:modified xsi:type="dcterms:W3CDTF">2026-02-05T04:19:12Z</dcterms:modified>
</cp:coreProperties>
</file>