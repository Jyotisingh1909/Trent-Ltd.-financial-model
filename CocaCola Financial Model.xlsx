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come Statement" sheetId="2" state="visible" r:id="rId4"/>
    <sheet name="DCF Valuation" sheetId="3" state="visible" r:id="rId5"/>
    <sheet name="Trading Comps" sheetId="4" state="visible" r:id="rId6"/>
    <sheet name="Valuation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<sst xmlns="http://schemas.openxmlformats.org/spreadsheetml/2006/main" count="174" uniqueCount="137">
  <si>
    <t xml:space="preserve">COCA-COLA COMPANY — FINANCIAL MODEL ASSUMPTIONS</t>
  </si>
  <si>
    <t xml:space="preserve">All figures in USD Millions unless stated | Fiscal Year ends December 31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</si>
  <si>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</si>
  <si>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</si>
  <si>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</si>
  <si>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</si>
  <si>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</si>
  <si>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</si>
  <si>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</si>
  <si>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Historical</t>
  </si>
  <si>
    <t xml:space="preserve">Projected</t>
  </si>
  <si>
    <t xml:space="preserve">REVENUE ASSUMPTIONS</t>
  </si>
  <si>
    <t xml:space="preserve">Net Revenue ($mm)</t>
  </si>
  <si>
    <t xml:space="preserve">    Revenue Growth YoY</t>
  </si>
  <si>
    <t xml:space="preserve">N/A</t>
  </si>
  <si>
    <t xml:space="preserve">MARGIN ASSUMPTIONS</t>
  </si>
  <si>
    <t xml:space="preserve">Gross Profit Margin</t>
  </si>
  <si>
    <t xml:space="preserve">EBITDA Margin</t>
  </si>
  <si>
    <t xml:space="preserve">EBIT Margin (Operating Margin)</t>
  </si>
  <si>
    <t xml:space="preserve">Net Income Margin</t>
  </si>
  <si>
    <t xml:space="preserve">DCF ASSUMPTIONS</t>
  </si>
  <si>
    <t xml:space="preserve">WACC (Discount Rate)</t>
  </si>
  <si>
    <t xml:space="preserve">← Key Assumption</t>
  </si>
  <si>
    <t xml:space="preserve">Terminal Growth Rate</t>
  </si>
  <si>
    <t xml:space="preserve">Tax Rate</t>
  </si>
  <si>
    <t xml:space="preserve">D&amp;A as % of Revenue</t>
  </si>
  <si>
    <t xml:space="preserve">Capex as % of Revenue</t>
  </si>
  <si>
    <t xml:space="preserve">Change in NWC as % of Revenue</t>
  </si>
  <si>
    <t xml:space="preserve">Source: Coca-Cola Company 10-K Filings (2019–2023), SEC EDGAR. Projections based on analyst consensus and historical trend analysis.</t>
  </si>
  <si>
    <t xml:space="preserve">COCA-COLA COMPANY — INCOME STATEMENT</t>
  </si>
  <si>
    <t xml:space="preserve">USD Millions | Fiscal Year ends December 31</t>
  </si>
  <si>
    <t xml:space="preserve">INCOME STATEMENT ($mm)</t>
  </si>
  <si>
    <t xml:space="preserve">Net Revenue</t>
  </si>
  <si>
    <t xml:space="preserve">    Cost of Goods Sold</t>
  </si>
  <si>
    <t xml:space="preserve">Gross Profit</t>
  </si>
  <si>
    <t xml:space="preserve">    Gross Margin %</t>
  </si>
  <si>
    <t xml:space="preserve">OPERATING EXPENSES</t>
  </si>
  <si>
    <t xml:space="preserve">    Selling &amp; Marketing Expenses</t>
  </si>
  <si>
    <t xml:space="preserve">    General &amp; Administrative Expenses</t>
  </si>
  <si>
    <t xml:space="preserve">    D&amp;A (Depreciation &amp; Amortization)</t>
  </si>
  <si>
    <t xml:space="preserve">Total Operating Expenses</t>
  </si>
  <si>
    <t xml:space="preserve">EBIT (Operating Income)</t>
  </si>
  <si>
    <t xml:space="preserve">    EBIT Margin %</t>
  </si>
  <si>
    <t xml:space="preserve">EBITDA</t>
  </si>
  <si>
    <t xml:space="preserve">    EBITDA Margin %</t>
  </si>
  <si>
    <t xml:space="preserve">BELOW THE LINE</t>
  </si>
  <si>
    <t xml:space="preserve">    Interest Expense</t>
  </si>
  <si>
    <t xml:space="preserve">-900</t>
  </si>
  <si>
    <t xml:space="preserve">    Other Income / (Expense)</t>
  </si>
  <si>
    <t xml:space="preserve">1200</t>
  </si>
  <si>
    <t xml:space="preserve">Pre-Tax Income (EBT)</t>
  </si>
  <si>
    <t xml:space="preserve">    Income Tax Expense</t>
  </si>
  <si>
    <t xml:space="preserve">Net Income</t>
  </si>
  <si>
    <t xml:space="preserve">    Net Margin %</t>
  </si>
  <si>
    <t xml:space="preserve">PER SHARE DATA</t>
  </si>
  <si>
    <t xml:space="preserve">Shares Outstanding (mm)</t>
  </si>
  <si>
    <t xml:space="preserve">EPS (Basic)</t>
  </si>
  <si>
    <t xml:space="preserve">Dividends Per Share</t>
  </si>
  <si>
    <t xml:space="preserve">COCA-COLA COMPANY — DCF VALUATION</t>
  </si>
  <si>
    <t xml:space="preserve">Discounted Cash Flow Analysis | USD Millions</t>
  </si>
  <si>
    <t xml:space="preserve">FREE CASH FLOW BUILD ($mm)</t>
  </si>
  <si>
    <t xml:space="preserve">2026</t>
  </si>
  <si>
    <t xml:space="preserve">2027</t>
  </si>
  <si>
    <t xml:space="preserve">2028</t>
  </si>
  <si>
    <t xml:space="preserve">    Tax on EBIT (NOPAT Tax)</t>
  </si>
  <si>
    <t xml:space="preserve">NOPAT (Net Operating Profit After Tax)</t>
  </si>
  <si>
    <t xml:space="preserve">    Add: D&amp;A</t>
  </si>
  <si>
    <t xml:space="preserve">    Less: Capital Expenditures</t>
  </si>
  <si>
    <t xml:space="preserve">    Less: Change in Net Working Capital</t>
  </si>
  <si>
    <t xml:space="preserve">Unlevered Free Cash Flow (UFCF)</t>
  </si>
  <si>
    <t xml:space="preserve">DISCOUNT FACTORS &amp; PV OF FCF</t>
  </si>
  <si>
    <t xml:space="preserve">Discount Period</t>
  </si>
  <si>
    <t xml:space="preserve">Discount Factor  [1/(1+WACC)^n]</t>
  </si>
  <si>
    <t xml:space="preserve">PV of Free Cash Flow</t>
  </si>
  <si>
    <t xml:space="preserve">TERMINAL VALUE &amp; ENTERPRISE VALUE</t>
  </si>
  <si>
    <t xml:space="preserve">Terminal Year FCF (Year 5)</t>
  </si>
  <si>
    <t xml:space="preserve">Terminal Growth Rate (g)</t>
  </si>
  <si>
    <t xml:space="preserve">WACC</t>
  </si>
  <si>
    <t xml:space="preserve">Terminal Value  [FCF*(1+g)/(WACC-g)]</t>
  </si>
  <si>
    <t xml:space="preserve">PV of Terminal Value</t>
  </si>
  <si>
    <t xml:space="preserve">Sum of PV of FCFs</t>
  </si>
  <si>
    <t xml:space="preserve">Enterprise Value (EV)</t>
  </si>
  <si>
    <t xml:space="preserve">BRIDGE TO EQUITY VALUE</t>
  </si>
  <si>
    <t xml:space="preserve">Enterprise Value</t>
  </si>
  <si>
    <t xml:space="preserve">    Less: Total Debt</t>
  </si>
  <si>
    <t xml:space="preserve">    Add: Cash &amp; Equivalents</t>
  </si>
  <si>
    <t xml:space="preserve">Equity Value</t>
  </si>
  <si>
    <t xml:space="preserve">IMPLIED SHARE PRICE</t>
  </si>
  <si>
    <t xml:space="preserve">SENSITIVITY ANALYSIS — IMPLIED SHARE PRICE</t>
  </si>
  <si>
    <t xml:space="preserve">WACC \ Terminal Growth Rate</t>
  </si>
  <si>
    <t xml:space="preserve">COCA-COLA COMPANY — TRADING COMPARABLES ANALYSIS</t>
  </si>
  <si>
    <t xml:space="preserve">Market data as of FY2023 | USD Millions unless stated | EV = Enterprise Value</t>
  </si>
  <si>
    <t xml:space="preserve">Company</t>
  </si>
  <si>
    <t xml:space="preserve">Market Cap</t>
  </si>
  <si>
    <t xml:space="preserve">Net Debt</t>
  </si>
  <si>
    <t xml:space="preserve">EV</t>
  </si>
  <si>
    <t xml:space="preserve">Revenue</t>
  </si>
  <si>
    <t xml:space="preserve">EV/Revenue</t>
  </si>
  <si>
    <t xml:space="preserve">EV/EBITDA</t>
  </si>
  <si>
    <t xml:space="preserve">P/E</t>
  </si>
  <si>
    <t xml:space="preserve">Net Margin</t>
  </si>
  <si>
    <t xml:space="preserve">Coca-Cola (KO)</t>
  </si>
  <si>
    <t xml:space="preserve">PepsiCo (PEP)</t>
  </si>
  <si>
    <t xml:space="preserve">Monster Beverage</t>
  </si>
  <si>
    <t xml:space="preserve">Keurig Dr Pepper</t>
  </si>
  <si>
    <t xml:space="preserve">Constellation Brands</t>
  </si>
  <si>
    <t xml:space="preserve">COMPARABLE STATISTICS</t>
  </si>
  <si>
    <t xml:space="preserve">25th Percentile</t>
  </si>
  <si>
    <t xml:space="preserve">Median</t>
  </si>
  <si>
    <t xml:space="preserve">Mean</t>
  </si>
  <si>
    <t xml:space="preserve">75th Percentile</t>
  </si>
  <si>
    <t xml:space="preserve">IMPLIED VALUATION — COCA-COLA</t>
  </si>
  <si>
    <t xml:space="preserve">Metric</t>
  </si>
  <si>
    <t xml:space="preserve">KO Value</t>
  </si>
  <si>
    <t xml:space="preserve">Median Multiple</t>
  </si>
  <si>
    <t xml:space="preserve">Implied EV</t>
  </si>
  <si>
    <t xml:space="preserve">Less: Net Debt</t>
  </si>
  <si>
    <t xml:space="preserve">Implied Eq. Value</t>
  </si>
  <si>
    <t xml:space="preserve">Shares (mm)</t>
  </si>
  <si>
    <t xml:space="preserve">Implied Price</t>
  </si>
  <si>
    <t xml:space="preserve">EV / Revenue</t>
  </si>
  <si>
    <t xml:space="preserve">EV / EBITDA</t>
  </si>
  <si>
    <t xml:space="preserve">COCA-COLA — VALUATION SUMMARY (FOOTBALL FIELD)</t>
  </si>
  <si>
    <t xml:space="preserve">Current Market Price: ~$60 | Analysis Date: FY2023</t>
  </si>
  <si>
    <t xml:space="preserve">Methodology</t>
  </si>
  <si>
    <t xml:space="preserve">Low ($)</t>
  </si>
  <si>
    <t xml:space="preserve">High ($)</t>
  </si>
  <si>
    <t xml:space="preserve">Comment</t>
  </si>
  <si>
    <t xml:space="preserve">DCF Valuation</t>
  </si>
  <si>
    <t xml:space="preserve">Base case WACC 8.2%, TGR 2.5%</t>
  </si>
  <si>
    <t xml:space="preserve">EV/Revenue (Trading Comp)</t>
  </si>
  <si>
    <t xml:space="preserve">Median peer multiple</t>
  </si>
  <si>
    <t xml:space="preserve">EV/EBITDA (Trading Comp)</t>
  </si>
  <si>
    <t xml:space="preserve">52-Week Range</t>
  </si>
  <si>
    <t xml:space="preserve">Market observed range</t>
  </si>
  <si>
    <t xml:space="preserve">INVESTMENT RECOMMENDATION</t>
  </si>
  <si>
    <t xml:space="preserve">HOLD / ACCUMULATE on dips. DCF and comparable analysis suggest fair value range of $55–$67. Strong brand moat, consistent dividend growth (60+ years), and emerging market expansion support long-term thesis. Current valuation appears fairly priced to slightly premium vs. peers.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</si>
</sst>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.00"/>
    <numFmt numFmtId="168" formatCode="\$#,##0.00"/>
    <numFmt numFmtId="169" formatCode="0.0"/>
    <numFmt numFmtId="170" formatCode="0.0000"/>
    <numFmt numFmtId="171" formatCode="0.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1E4620"/>
        <bgColor rgb="FF3333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E4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  <c r="H4" s="4" t="s">
        <v>8</v>
      </c>
    </row>
    <row r="5" customFormat="false" ht="15" hidden="false" customHeight="false" outlineLevel="0" collapsed="false"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6" t="s">
        <v>10</v>
      </c>
      <c r="H5" s="6" t="s">
        <v>10</v>
      </c>
    </row>
    <row r="6" customFormat="false" ht="15.75" hidden="false" customHeight="true" outlineLevel="0" collapsed="false">
      <c r="A6" s="7" t="s">
        <v>11</v>
      </c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9" t="s">
        <v>12</v>
      </c>
      <c r="B7" s="10" t="n">
        <v>37266</v>
      </c>
      <c r="C7" s="10" t="n">
        <v>33014</v>
      </c>
      <c r="D7" s="10" t="n">
        <v>38655</v>
      </c>
      <c r="E7" s="10" t="n">
        <v>43004</v>
      </c>
      <c r="F7" s="10" t="n">
        <v>45754</v>
      </c>
      <c r="G7" s="10" t="n">
        <f aca="false">F7*(1+G9)</f>
        <v>45754</v>
      </c>
      <c r="H7" s="10" t="n">
        <f aca="false">G7*(1+H9)</f>
        <v>45754</v>
      </c>
    </row>
    <row r="8" customFormat="false" ht="15" hidden="false" customHeight="false" outlineLevel="0" collapsed="false">
      <c r="A8" s="11" t="s">
        <v>13</v>
      </c>
      <c r="B8" s="12" t="s">
        <v>14</v>
      </c>
      <c r="C8" s="13" t="n">
        <f aca="false">(C7-B7)/B7</f>
        <v>-0.114098642193957</v>
      </c>
      <c r="D8" s="13" t="n">
        <f aca="false">(D7-C7)/C7</f>
        <v>0.170866904949415</v>
      </c>
      <c r="E8" s="13" t="n">
        <f aca="false">(E7-D7)/D7</f>
        <v>0.112508084335791</v>
      </c>
      <c r="F8" s="13" t="n">
        <f aca="false">(F7-E7)/E7</f>
        <v>0.0639475397637429</v>
      </c>
      <c r="G8" s="14" t="n">
        <v>0.05</v>
      </c>
      <c r="H8" s="14" t="n">
        <v>0.05</v>
      </c>
    </row>
    <row r="10" customFormat="false" ht="15.75" hidden="false" customHeight="true" outlineLevel="0" collapsed="false">
      <c r="A10" s="7" t="s">
        <v>15</v>
      </c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9" t="s">
        <v>16</v>
      </c>
      <c r="B11" s="15" t="n">
        <v>0.601</v>
      </c>
      <c r="C11" s="15" t="n">
        <v>0.596</v>
      </c>
      <c r="D11" s="15" t="n">
        <v>0.604</v>
      </c>
      <c r="E11" s="15" t="n">
        <v>0.582</v>
      </c>
      <c r="F11" s="15" t="n">
        <v>0.592</v>
      </c>
      <c r="G11" s="14" t="n">
        <v>0.595</v>
      </c>
      <c r="H11" s="14" t="n">
        <v>0.6</v>
      </c>
    </row>
    <row r="12" customFormat="false" ht="15" hidden="false" customHeight="false" outlineLevel="0" collapsed="false">
      <c r="A12" s="9" t="s">
        <v>17</v>
      </c>
      <c r="B12" s="15" t="n">
        <v>0.265</v>
      </c>
      <c r="C12" s="15" t="n">
        <v>0.252</v>
      </c>
      <c r="D12" s="15" t="n">
        <v>0.288</v>
      </c>
      <c r="E12" s="15" t="n">
        <v>0.279</v>
      </c>
      <c r="F12" s="15" t="n">
        <v>0.288</v>
      </c>
      <c r="G12" s="14" t="n">
        <v>0.29</v>
      </c>
      <c r="H12" s="14" t="n">
        <v>0.292</v>
      </c>
    </row>
    <row r="13" customFormat="false" ht="15" hidden="false" customHeight="false" outlineLevel="0" collapsed="false">
      <c r="A13" s="9" t="s">
        <v>18</v>
      </c>
      <c r="B13" s="15" t="n">
        <v>0.27</v>
      </c>
      <c r="C13" s="15" t="n">
        <v>0.212</v>
      </c>
      <c r="D13" s="15" t="n">
        <v>0.264</v>
      </c>
      <c r="E13" s="15" t="n">
        <v>0.254</v>
      </c>
      <c r="F13" s="15" t="n">
        <v>0.261</v>
      </c>
      <c r="G13" s="14" t="n">
        <v>0.265</v>
      </c>
      <c r="H13" s="14" t="n">
        <v>0.268</v>
      </c>
    </row>
    <row r="14" customFormat="false" ht="15" hidden="false" customHeight="false" outlineLevel="0" collapsed="false">
      <c r="A14" s="9" t="s">
        <v>19</v>
      </c>
      <c r="B14" s="15" t="n">
        <v>0.234</v>
      </c>
      <c r="C14" s="15" t="n">
        <v>0.186</v>
      </c>
      <c r="D14" s="15" t="n">
        <v>0.252</v>
      </c>
      <c r="E14" s="15" t="n">
        <v>0.228</v>
      </c>
      <c r="F14" s="15" t="n">
        <v>0.239</v>
      </c>
      <c r="G14" s="14" t="n">
        <v>0.24</v>
      </c>
      <c r="H14" s="14" t="n">
        <v>0.242</v>
      </c>
    </row>
    <row r="16" customFormat="false" ht="15.75" hidden="false" customHeight="true" outlineLevel="0" collapsed="false">
      <c r="A16" s="7" t="s">
        <v>20</v>
      </c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9" t="s">
        <v>21</v>
      </c>
      <c r="B17" s="14" t="n">
        <v>0.082</v>
      </c>
      <c r="C17" s="16" t="s">
        <v>22</v>
      </c>
    </row>
    <row r="18" customFormat="false" ht="15" hidden="false" customHeight="false" outlineLevel="0" collapsed="false">
      <c r="A18" s="9" t="s">
        <v>23</v>
      </c>
      <c r="B18" s="14" t="n">
        <v>0.025</v>
      </c>
      <c r="C18" s="16" t="s">
        <v>22</v>
      </c>
    </row>
    <row r="19" customFormat="false" ht="15" hidden="false" customHeight="false" outlineLevel="0" collapsed="false">
      <c r="A19" s="9" t="s">
        <v>24</v>
      </c>
      <c r="B19" s="14" t="n">
        <v>0.187</v>
      </c>
      <c r="C19" s="16" t="s">
        <v>22</v>
      </c>
    </row>
    <row r="20" customFormat="false" ht="15" hidden="false" customHeight="false" outlineLevel="0" collapsed="false">
      <c r="A20" s="9" t="s">
        <v>25</v>
      </c>
      <c r="B20" s="14" t="n">
        <v>0.04</v>
      </c>
      <c r="C20" s="16" t="s">
        <v>22</v>
      </c>
    </row>
    <row r="21" customFormat="false" ht="15" hidden="false" customHeight="false" outlineLevel="0" collapsed="false">
      <c r="A21" s="9" t="s">
        <v>26</v>
      </c>
      <c r="B21" s="14" t="n">
        <v>0.045</v>
      </c>
      <c r="C21" s="16" t="s">
        <v>22</v>
      </c>
    </row>
    <row r="22" customFormat="false" ht="15" hidden="false" customHeight="false" outlineLevel="0" collapsed="false">
      <c r="A22" s="9" t="s">
        <v>27</v>
      </c>
      <c r="B22" s="14" t="n">
        <v>0.01</v>
      </c>
      <c r="C22" s="16" t="s">
        <v>22</v>
      </c>
    </row>
    <row r="25" customFormat="false" ht="15" hidden="false" customHeight="false" outlineLevel="0" collapsed="false">
      <c r="A25" s="17" t="s">
        <v>28</v>
      </c>
      <c r="B25" s="17"/>
      <c r="C25" s="17"/>
      <c r="D25" s="17"/>
      <c r="E25" s="17"/>
      <c r="F25" s="17"/>
      <c r="G25" s="17"/>
      <c r="H25" s="17"/>
    </row>
  </sheetData>
  <mergeCells count="3">
    <mergeCell ref="A1:H1"/>
    <mergeCell ref="A2:H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3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  <c r="H4" s="4" t="s">
        <v>8</v>
      </c>
    </row>
    <row r="5" customFormat="false" ht="15" hidden="false" customHeight="false" outlineLevel="0" collapsed="false"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6" t="s">
        <v>10</v>
      </c>
      <c r="H5" s="6" t="s">
        <v>10</v>
      </c>
    </row>
    <row r="6" customFormat="false" ht="15.75" hidden="false" customHeight="true" outlineLevel="0" collapsed="false">
      <c r="A6" s="7" t="s">
        <v>31</v>
      </c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9" t="s">
        <v>32</v>
      </c>
      <c r="B7" s="18" t="n">
        <v>37266</v>
      </c>
      <c r="C7" s="18" t="n">
        <v>33014</v>
      </c>
      <c r="D7" s="18" t="n">
        <v>38655</v>
      </c>
      <c r="E7" s="18" t="n">
        <v>43004</v>
      </c>
      <c r="F7" s="18" t="n">
        <v>45754</v>
      </c>
      <c r="G7" s="18" t="n">
        <f aca="false">Assumptions!G7</f>
        <v>45754</v>
      </c>
      <c r="H7" s="18" t="n">
        <f aca="false">Assumptions!H7</f>
        <v>45754</v>
      </c>
    </row>
    <row r="8" customFormat="false" ht="15" hidden="false" customHeight="false" outlineLevel="0" collapsed="false">
      <c r="A8" s="19" t="s">
        <v>33</v>
      </c>
      <c r="B8" s="18" t="n">
        <f aca="false">14880</f>
        <v>14880</v>
      </c>
      <c r="C8" s="18" t="n">
        <f aca="false">13433</f>
        <v>13433</v>
      </c>
      <c r="D8" s="18" t="n">
        <f aca="false">15357</f>
        <v>15357</v>
      </c>
      <c r="E8" s="18" t="n">
        <f aca="false">18001</f>
        <v>18001</v>
      </c>
      <c r="F8" s="18" t="n">
        <f aca="false">18670</f>
        <v>18670</v>
      </c>
      <c r="G8" s="18" t="n">
        <f aca="false">G7*(1-Assumptions!G11)</f>
        <v>18530.37</v>
      </c>
      <c r="H8" s="18" t="n">
        <f aca="false">H7*(1-Assumptions!H11)</f>
        <v>18301.6</v>
      </c>
    </row>
    <row r="9" customFormat="false" ht="15" hidden="false" customHeight="false" outlineLevel="0" collapsed="false">
      <c r="A9" s="9" t="s">
        <v>34</v>
      </c>
      <c r="B9" s="18" t="n">
        <f aca="false">B7-B8</f>
        <v>22386</v>
      </c>
      <c r="C9" s="18" t="n">
        <f aca="false">C7-C8</f>
        <v>19581</v>
      </c>
      <c r="D9" s="18" t="n">
        <f aca="false">D7-D8</f>
        <v>23298</v>
      </c>
      <c r="E9" s="18" t="n">
        <f aca="false">E7-E8</f>
        <v>25003</v>
      </c>
      <c r="F9" s="18" t="n">
        <f aca="false">F7-F8</f>
        <v>27084</v>
      </c>
      <c r="G9" s="18" t="n">
        <f aca="false">G7-G8</f>
        <v>27223.63</v>
      </c>
      <c r="H9" s="18" t="n">
        <f aca="false">H7-H8</f>
        <v>27452.4</v>
      </c>
    </row>
    <row r="10" customFormat="false" ht="15" hidden="false" customHeight="false" outlineLevel="0" collapsed="false">
      <c r="A10" s="11" t="s">
        <v>35</v>
      </c>
      <c r="B10" s="13" t="n">
        <f aca="false">B9/B7</f>
        <v>0.600708420544196</v>
      </c>
      <c r="C10" s="13" t="n">
        <f aca="false">C9/C7</f>
        <v>0.593112013085358</v>
      </c>
      <c r="D10" s="13" t="n">
        <f aca="false">D9/D7</f>
        <v>0.602716336825766</v>
      </c>
      <c r="E10" s="13" t="n">
        <f aca="false">E9/E7</f>
        <v>0.581411031531951</v>
      </c>
      <c r="F10" s="13" t="n">
        <f aca="false">F9/F7</f>
        <v>0.591948244962189</v>
      </c>
      <c r="G10" s="13" t="n">
        <f aca="false">G9/G7</f>
        <v>0.595</v>
      </c>
      <c r="H10" s="13" t="n">
        <f aca="false">H9/H7</f>
        <v>0.6</v>
      </c>
    </row>
    <row r="11" customFormat="false" ht="15.75" hidden="false" customHeight="true" outlineLevel="0" collapsed="false">
      <c r="A11" s="7" t="s">
        <v>36</v>
      </c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19" t="s">
        <v>37</v>
      </c>
      <c r="B12" s="18" t="n">
        <v>4050</v>
      </c>
      <c r="C12" s="18" t="n">
        <v>3890</v>
      </c>
      <c r="D12" s="18" t="n">
        <v>4165</v>
      </c>
      <c r="E12" s="18" t="n">
        <v>4600</v>
      </c>
      <c r="F12" s="18" t="n">
        <v>4810</v>
      </c>
      <c r="G12" s="18" t="n">
        <f aca="false">G7*0.1</f>
        <v>4575.4</v>
      </c>
      <c r="H12" s="18" t="n">
        <f aca="false">H7*0.1</f>
        <v>4575.4</v>
      </c>
    </row>
    <row r="13" customFormat="false" ht="15" hidden="false" customHeight="false" outlineLevel="0" collapsed="false">
      <c r="A13" s="19" t="s">
        <v>38</v>
      </c>
      <c r="B13" s="18" t="n">
        <v>1900</v>
      </c>
      <c r="C13" s="18" t="n">
        <v>1850</v>
      </c>
      <c r="D13" s="18" t="n">
        <v>2100</v>
      </c>
      <c r="E13" s="18" t="n">
        <v>2400</v>
      </c>
      <c r="F13" s="18" t="n">
        <v>2550</v>
      </c>
      <c r="G13" s="18" t="n">
        <f aca="false">G7*0.053</f>
        <v>2424.962</v>
      </c>
      <c r="H13" s="18" t="n">
        <f aca="false">H7*0.053</f>
        <v>2424.962</v>
      </c>
    </row>
    <row r="14" customFormat="false" ht="15" hidden="false" customHeight="false" outlineLevel="0" collapsed="false">
      <c r="A14" s="19" t="s">
        <v>39</v>
      </c>
      <c r="B14" s="18" t="n">
        <v>1365</v>
      </c>
      <c r="C14" s="18" t="n">
        <v>1350</v>
      </c>
      <c r="D14" s="18" t="n">
        <v>1260</v>
      </c>
      <c r="E14" s="18" t="n">
        <v>1310</v>
      </c>
      <c r="F14" s="18" t="n">
        <v>1450</v>
      </c>
      <c r="G14" s="18" t="n">
        <f aca="false">G7*Assumptions!$B$20</f>
        <v>1830.16</v>
      </c>
      <c r="H14" s="18" t="n">
        <f aca="false">H7*Assumptions!$B$20</f>
        <v>1830.16</v>
      </c>
    </row>
    <row r="15" customFormat="false" ht="15" hidden="false" customHeight="false" outlineLevel="0" collapsed="false">
      <c r="A15" s="9" t="s">
        <v>40</v>
      </c>
      <c r="B15" s="18" t="n">
        <f aca="false">SUM(B12:B14)</f>
        <v>7315</v>
      </c>
      <c r="C15" s="18" t="n">
        <f aca="false">SUM(C12:C14)</f>
        <v>7090</v>
      </c>
      <c r="D15" s="18" t="n">
        <f aca="false">SUM(D12:D14)</f>
        <v>7525</v>
      </c>
      <c r="E15" s="18" t="n">
        <f aca="false">SUM(E12:E14)</f>
        <v>8310</v>
      </c>
      <c r="F15" s="18" t="n">
        <f aca="false">SUM(F12:F14)</f>
        <v>8810</v>
      </c>
      <c r="G15" s="18" t="n">
        <f aca="false">SUM(G12:G14)</f>
        <v>8830.522</v>
      </c>
      <c r="H15" s="18" t="n">
        <f aca="false">SUM(H12:H14)</f>
        <v>8830.522</v>
      </c>
    </row>
    <row r="16" customFormat="false" ht="15" hidden="false" customHeight="false" outlineLevel="0" collapsed="false">
      <c r="A16" s="9" t="s">
        <v>41</v>
      </c>
      <c r="B16" s="18" t="n">
        <f aca="false">B9-B15</f>
        <v>15071</v>
      </c>
      <c r="C16" s="18" t="n">
        <f aca="false">C9-C15</f>
        <v>12491</v>
      </c>
      <c r="D16" s="18" t="n">
        <f aca="false">D9-D15</f>
        <v>15773</v>
      </c>
      <c r="E16" s="18" t="n">
        <f aca="false">E9-E15</f>
        <v>16693</v>
      </c>
      <c r="F16" s="18" t="n">
        <f aca="false">F9-F15</f>
        <v>18274</v>
      </c>
      <c r="G16" s="18" t="n">
        <f aca="false">G9-G15</f>
        <v>18393.108</v>
      </c>
      <c r="H16" s="18" t="n">
        <f aca="false">H9-H15</f>
        <v>18621.878</v>
      </c>
    </row>
    <row r="17" customFormat="false" ht="15" hidden="false" customHeight="false" outlineLevel="0" collapsed="false">
      <c r="A17" s="11" t="s">
        <v>42</v>
      </c>
      <c r="B17" s="13" t="n">
        <f aca="false">B16/B7</f>
        <v>0.404416894756615</v>
      </c>
      <c r="C17" s="13" t="n">
        <f aca="false">C16/C7</f>
        <v>0.378354637426546</v>
      </c>
      <c r="D17" s="13" t="n">
        <f aca="false">D16/D7</f>
        <v>0.408045530979175</v>
      </c>
      <c r="E17" s="13" t="n">
        <f aca="false">E16/E7</f>
        <v>0.388173193191331</v>
      </c>
      <c r="F17" s="13" t="n">
        <f aca="false">F16/F7</f>
        <v>0.399396774052542</v>
      </c>
      <c r="G17" s="13" t="n">
        <f aca="false">G16/G7</f>
        <v>0.402</v>
      </c>
      <c r="H17" s="13" t="n">
        <f aca="false">H16/H7</f>
        <v>0.407</v>
      </c>
    </row>
    <row r="18" customFormat="false" ht="15" hidden="false" customHeight="false" outlineLevel="0" collapsed="false">
      <c r="A18" s="9" t="s">
        <v>43</v>
      </c>
      <c r="B18" s="18" t="n">
        <f aca="false">B16+B14</f>
        <v>16436</v>
      </c>
      <c r="C18" s="18" t="n">
        <f aca="false">C16+C14</f>
        <v>13841</v>
      </c>
      <c r="D18" s="18" t="n">
        <f aca="false">D16+D14</f>
        <v>17033</v>
      </c>
      <c r="E18" s="18" t="n">
        <f aca="false">E16+E14</f>
        <v>18003</v>
      </c>
      <c r="F18" s="18" t="n">
        <f aca="false">F16+F14</f>
        <v>19724</v>
      </c>
      <c r="G18" s="18" t="n">
        <f aca="false">G16+G14</f>
        <v>20223.268</v>
      </c>
      <c r="H18" s="18" t="n">
        <f aca="false">H16+H14</f>
        <v>20452.038</v>
      </c>
    </row>
    <row r="19" customFormat="false" ht="15" hidden="false" customHeight="false" outlineLevel="0" collapsed="false">
      <c r="A19" s="11" t="s">
        <v>44</v>
      </c>
      <c r="B19" s="13" t="n">
        <f aca="false">B18/B7</f>
        <v>0.441045456984919</v>
      </c>
      <c r="C19" s="13" t="n">
        <f aca="false">C18/C7</f>
        <v>0.419246380323499</v>
      </c>
      <c r="D19" s="13" t="n">
        <f aca="false">D18/D7</f>
        <v>0.440641572888371</v>
      </c>
      <c r="E19" s="13" t="n">
        <f aca="false">E18/E7</f>
        <v>0.418635475769696</v>
      </c>
      <c r="F19" s="13" t="n">
        <f aca="false">F18/F7</f>
        <v>0.431087992306684</v>
      </c>
      <c r="G19" s="13" t="n">
        <f aca="false">G18/G7</f>
        <v>0.442</v>
      </c>
      <c r="H19" s="13" t="n">
        <f aca="false">H18/H7</f>
        <v>0.447</v>
      </c>
    </row>
    <row r="20" customFormat="false" ht="15.75" hidden="false" customHeight="true" outlineLevel="0" collapsed="false">
      <c r="A20" s="7" t="s">
        <v>45</v>
      </c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19" t="s">
        <v>46</v>
      </c>
      <c r="B21" s="18" t="n">
        <v>-946</v>
      </c>
      <c r="C21" s="18" t="n">
        <v>-1183</v>
      </c>
      <c r="D21" s="18" t="n">
        <v>-1597</v>
      </c>
      <c r="E21" s="18" t="n">
        <v>-882</v>
      </c>
      <c r="F21" s="18" t="n">
        <v>-879</v>
      </c>
      <c r="G21" s="18" t="s">
        <v>47</v>
      </c>
      <c r="H21" s="18" t="s">
        <v>47</v>
      </c>
    </row>
    <row r="22" customFormat="false" ht="15" hidden="false" customHeight="false" outlineLevel="0" collapsed="false">
      <c r="A22" s="19" t="s">
        <v>48</v>
      </c>
      <c r="B22" s="18" t="n">
        <v>673</v>
      </c>
      <c r="C22" s="18" t="n">
        <v>841</v>
      </c>
      <c r="D22" s="18" t="n">
        <v>1045</v>
      </c>
      <c r="E22" s="18" t="n">
        <v>1107</v>
      </c>
      <c r="F22" s="18" t="n">
        <v>1234</v>
      </c>
      <c r="G22" s="18" t="s">
        <v>49</v>
      </c>
      <c r="H22" s="18" t="s">
        <v>49</v>
      </c>
    </row>
    <row r="23" customFormat="false" ht="15" hidden="false" customHeight="false" outlineLevel="0" collapsed="false">
      <c r="A23" s="9" t="s">
        <v>50</v>
      </c>
      <c r="B23" s="18" t="n">
        <f aca="false">B16+B21+B22</f>
        <v>14798</v>
      </c>
      <c r="C23" s="18" t="n">
        <f aca="false">C16+C21+C22</f>
        <v>12149</v>
      </c>
      <c r="D23" s="18" t="n">
        <f aca="false">D16+D21+D22</f>
        <v>15221</v>
      </c>
      <c r="E23" s="18" t="n">
        <f aca="false">E16+E21+E22</f>
        <v>16918</v>
      </c>
      <c r="F23" s="18" t="n">
        <f aca="false">F16+F21+F22</f>
        <v>18629</v>
      </c>
      <c r="G23" s="18" t="n">
        <f aca="false">G16+G21+G22</f>
        <v>18693.108</v>
      </c>
      <c r="H23" s="18" t="n">
        <f aca="false">H16+H21+H22</f>
        <v>18921.878</v>
      </c>
    </row>
    <row r="24" customFormat="false" ht="15" hidden="false" customHeight="false" outlineLevel="0" collapsed="false">
      <c r="A24" s="19" t="s">
        <v>51</v>
      </c>
      <c r="B24" s="18" t="n">
        <f aca="false">-B23*Assumptions!$B$19</f>
        <v>-2767.226</v>
      </c>
      <c r="C24" s="18" t="n">
        <f aca="false">-C23*Assumptions!$B$19</f>
        <v>-2271.863</v>
      </c>
      <c r="D24" s="18" t="n">
        <f aca="false">-D23*Assumptions!$B$19</f>
        <v>-2846.327</v>
      </c>
      <c r="E24" s="18" t="n">
        <f aca="false">-E23*Assumptions!$B$19</f>
        <v>-3163.666</v>
      </c>
      <c r="F24" s="18" t="n">
        <f aca="false">-F23*Assumptions!$B$19</f>
        <v>-3483.623</v>
      </c>
      <c r="G24" s="18" t="n">
        <f aca="false">-G23*Assumptions!$B$19</f>
        <v>-3495.611196</v>
      </c>
      <c r="H24" s="18" t="n">
        <f aca="false">-H23*Assumptions!$B$19</f>
        <v>-3538.391186</v>
      </c>
    </row>
    <row r="25" customFormat="false" ht="15" hidden="false" customHeight="false" outlineLevel="0" collapsed="false">
      <c r="A25" s="9" t="s">
        <v>52</v>
      </c>
      <c r="B25" s="20" t="n">
        <f aca="false">B23+B24</f>
        <v>12030.774</v>
      </c>
      <c r="C25" s="20" t="n">
        <f aca="false">C23+C24</f>
        <v>9877.137</v>
      </c>
      <c r="D25" s="20" t="n">
        <f aca="false">D23+D24</f>
        <v>12374.673</v>
      </c>
      <c r="E25" s="20" t="n">
        <f aca="false">E23+E24</f>
        <v>13754.334</v>
      </c>
      <c r="F25" s="20" t="n">
        <f aca="false">F23+F24</f>
        <v>15145.377</v>
      </c>
      <c r="G25" s="20" t="n">
        <f aca="false">G23+G24</f>
        <v>15197.496804</v>
      </c>
      <c r="H25" s="20" t="n">
        <f aca="false">H23+H24</f>
        <v>15383.486814</v>
      </c>
    </row>
    <row r="26" customFormat="false" ht="15" hidden="false" customHeight="false" outlineLevel="0" collapsed="false">
      <c r="A26" s="11" t="s">
        <v>53</v>
      </c>
      <c r="B26" s="13" t="n">
        <f aca="false">B25/B7</f>
        <v>0.322835131218805</v>
      </c>
      <c r="C26" s="13" t="n">
        <f aca="false">C25/C7</f>
        <v>0.299180256860726</v>
      </c>
      <c r="D26" s="13" t="n">
        <f aca="false">D25/D7</f>
        <v>0.320131237873496</v>
      </c>
      <c r="E26" s="13" t="n">
        <f aca="false">E25/E7</f>
        <v>0.319838480141382</v>
      </c>
      <c r="F26" s="13" t="n">
        <f aca="false">F25/F7</f>
        <v>0.331017550378109</v>
      </c>
      <c r="G26" s="13" t="n">
        <f aca="false">G25/G7</f>
        <v>0.332156681470472</v>
      </c>
      <c r="H26" s="13" t="n">
        <f aca="false">H25/H7</f>
        <v>0.336221681470473</v>
      </c>
    </row>
    <row r="27" customFormat="false" ht="15.75" hidden="false" customHeight="true" outlineLevel="0" collapsed="false">
      <c r="A27" s="7" t="s">
        <v>54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19" t="s">
        <v>55</v>
      </c>
      <c r="B28" s="10" t="n">
        <v>4295</v>
      </c>
      <c r="C28" s="10" t="n">
        <v>4280</v>
      </c>
      <c r="D28" s="10" t="n">
        <v>4315</v>
      </c>
      <c r="E28" s="10" t="n">
        <v>4328</v>
      </c>
      <c r="F28" s="10" t="n">
        <v>4326</v>
      </c>
      <c r="G28" s="10" t="n">
        <v>4320</v>
      </c>
      <c r="H28" s="10" t="n">
        <v>4310</v>
      </c>
    </row>
    <row r="29" customFormat="false" ht="15" hidden="false" customHeight="false" outlineLevel="0" collapsed="false">
      <c r="A29" s="9" t="s">
        <v>56</v>
      </c>
      <c r="B29" s="21" t="n">
        <f aca="false">B25/B28</f>
        <v>2.8011115250291</v>
      </c>
      <c r="C29" s="21" t="n">
        <f aca="false">C25/C28</f>
        <v>2.30774228971963</v>
      </c>
      <c r="D29" s="21" t="n">
        <f aca="false">D25/D28</f>
        <v>2.8678268829664</v>
      </c>
      <c r="E29" s="21" t="n">
        <f aca="false">E25/E28</f>
        <v>3.17798844731978</v>
      </c>
      <c r="F29" s="21" t="n">
        <f aca="false">F25/F28</f>
        <v>3.50101178918169</v>
      </c>
      <c r="G29" s="21" t="n">
        <f aca="false">G25/G28</f>
        <v>3.517939075</v>
      </c>
      <c r="H29" s="21" t="n">
        <f aca="false">H25/H28</f>
        <v>3.5692544812065</v>
      </c>
    </row>
    <row r="30" customFormat="false" ht="15" hidden="false" customHeight="false" outlineLevel="0" collapsed="false">
      <c r="A30" s="19" t="s">
        <v>57</v>
      </c>
      <c r="B30" s="22" t="n">
        <v>1.64</v>
      </c>
      <c r="C30" s="22" t="n">
        <v>1.68</v>
      </c>
      <c r="D30" s="22" t="n">
        <v>1.72</v>
      </c>
      <c r="E30" s="22" t="n">
        <v>1.76</v>
      </c>
      <c r="F30" s="22" t="n">
        <v>1.84</v>
      </c>
      <c r="G30" s="22" t="n">
        <v>1.94</v>
      </c>
      <c r="H30" s="22" t="n">
        <v>2.04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4"/>
  </cols>
  <sheetData>
    <row r="1" customFormat="false" ht="27.7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59</v>
      </c>
      <c r="B2" s="2"/>
      <c r="C2" s="2"/>
      <c r="D2" s="2"/>
      <c r="E2" s="2"/>
      <c r="F2" s="2"/>
      <c r="G2" s="2"/>
      <c r="H2" s="2"/>
    </row>
    <row r="4" customFormat="false" ht="15.75" hidden="false" customHeight="true" outlineLevel="0" collapsed="false">
      <c r="A4" s="7" t="s">
        <v>60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B5" s="4" t="s">
        <v>7</v>
      </c>
      <c r="C5" s="4" t="s">
        <v>8</v>
      </c>
      <c r="D5" s="4" t="s">
        <v>61</v>
      </c>
      <c r="E5" s="4" t="s">
        <v>62</v>
      </c>
      <c r="F5" s="4" t="s">
        <v>63</v>
      </c>
    </row>
    <row r="6" customFormat="false" ht="15" hidden="false" customHeight="false" outlineLevel="0" collapsed="false">
      <c r="A6" s="19" t="s">
        <v>41</v>
      </c>
      <c r="B6" s="18" t="n">
        <v>12725</v>
      </c>
      <c r="C6" s="18" t="n">
        <v>13520</v>
      </c>
      <c r="D6" s="18" t="n">
        <v>14196</v>
      </c>
      <c r="E6" s="18" t="n">
        <v>14906</v>
      </c>
      <c r="F6" s="18" t="n">
        <v>15651</v>
      </c>
    </row>
    <row r="7" customFormat="false" ht="15" hidden="false" customHeight="false" outlineLevel="0" collapsed="false">
      <c r="A7" s="19" t="s">
        <v>64</v>
      </c>
      <c r="B7" s="18" t="n">
        <f aca="false">-B6*Assumptions!$B$19</f>
        <v>-2379.575</v>
      </c>
      <c r="C7" s="18" t="n">
        <f aca="false">-C6*Assumptions!$B$19</f>
        <v>-2528.24</v>
      </c>
      <c r="D7" s="18" t="n">
        <f aca="false">-D6*Assumptions!$B$19</f>
        <v>-2654.652</v>
      </c>
      <c r="E7" s="18" t="n">
        <f aca="false">-E6*Assumptions!$B$19</f>
        <v>-2787.422</v>
      </c>
      <c r="F7" s="18" t="n">
        <f aca="false">-F6*Assumptions!$B$19</f>
        <v>-2926.737</v>
      </c>
    </row>
    <row r="8" customFormat="false" ht="15" hidden="false" customHeight="false" outlineLevel="0" collapsed="false">
      <c r="A8" s="9" t="s">
        <v>65</v>
      </c>
      <c r="B8" s="18" t="n">
        <f aca="false">B6+B7</f>
        <v>10345.425</v>
      </c>
      <c r="C8" s="18" t="n">
        <f aca="false">C6+C7</f>
        <v>10991.76</v>
      </c>
      <c r="D8" s="18" t="n">
        <f aca="false">D6+D7</f>
        <v>11541.348</v>
      </c>
      <c r="E8" s="18" t="n">
        <f aca="false">E6+E7</f>
        <v>12118.578</v>
      </c>
      <c r="F8" s="18" t="n">
        <f aca="false">F6+F7</f>
        <v>12724.263</v>
      </c>
    </row>
    <row r="9" customFormat="false" ht="15" hidden="false" customHeight="false" outlineLevel="0" collapsed="false">
      <c r="A9" s="19" t="s">
        <v>66</v>
      </c>
      <c r="B9" s="18" t="n">
        <v>1921</v>
      </c>
      <c r="C9" s="18" t="n">
        <v>2018</v>
      </c>
      <c r="D9" s="18" t="n">
        <v>2119</v>
      </c>
      <c r="E9" s="18" t="n">
        <v>2225</v>
      </c>
      <c r="F9" s="18" t="n">
        <v>2336</v>
      </c>
    </row>
    <row r="10" customFormat="false" ht="15" hidden="false" customHeight="false" outlineLevel="0" collapsed="false">
      <c r="A10" s="19" t="s">
        <v>67</v>
      </c>
      <c r="B10" s="18" t="n">
        <v>-2162</v>
      </c>
      <c r="C10" s="18" t="n">
        <v>-2272</v>
      </c>
      <c r="D10" s="18" t="n">
        <v>-2386</v>
      </c>
      <c r="E10" s="18" t="n">
        <v>-2505</v>
      </c>
      <c r="F10" s="18" t="n">
        <v>-2630</v>
      </c>
    </row>
    <row r="11" customFormat="false" ht="15" hidden="false" customHeight="false" outlineLevel="0" collapsed="false">
      <c r="A11" s="19" t="s">
        <v>68</v>
      </c>
      <c r="B11" s="18" t="n">
        <v>-481</v>
      </c>
      <c r="C11" s="18" t="n">
        <v>-505</v>
      </c>
      <c r="D11" s="18" t="n">
        <v>-530</v>
      </c>
      <c r="E11" s="18" t="n">
        <v>-557</v>
      </c>
      <c r="F11" s="18" t="n">
        <v>-585</v>
      </c>
    </row>
    <row r="12" customFormat="false" ht="15" hidden="false" customHeight="false" outlineLevel="0" collapsed="false">
      <c r="A12" s="9" t="s">
        <v>69</v>
      </c>
      <c r="B12" s="20" t="n">
        <f aca="false">SUM(B8:B11)</f>
        <v>9623.425</v>
      </c>
      <c r="C12" s="20" t="n">
        <f aca="false">SUM(C8:C11)</f>
        <v>10232.76</v>
      </c>
      <c r="D12" s="20" t="n">
        <f aca="false">SUM(D8:D11)</f>
        <v>10744.348</v>
      </c>
      <c r="E12" s="20" t="n">
        <f aca="false">SUM(E8:E11)</f>
        <v>11281.578</v>
      </c>
      <c r="F12" s="20" t="n">
        <f aca="false">SUM(F8:F11)</f>
        <v>11845.263</v>
      </c>
    </row>
    <row r="14" customFormat="false" ht="15.75" hidden="false" customHeight="true" outlineLevel="0" collapsed="false">
      <c r="A14" s="7" t="s">
        <v>70</v>
      </c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B15" s="4" t="s">
        <v>7</v>
      </c>
      <c r="C15" s="4" t="s">
        <v>8</v>
      </c>
      <c r="D15" s="4" t="s">
        <v>61</v>
      </c>
      <c r="E15" s="4" t="s">
        <v>62</v>
      </c>
      <c r="F15" s="4" t="s">
        <v>63</v>
      </c>
    </row>
    <row r="16" customFormat="false" ht="15" hidden="false" customHeight="false" outlineLevel="0" collapsed="false">
      <c r="A16" s="19" t="s">
        <v>71</v>
      </c>
      <c r="B16" s="23" t="n">
        <v>1</v>
      </c>
      <c r="C16" s="23" t="n">
        <v>2</v>
      </c>
      <c r="D16" s="23" t="n">
        <v>3</v>
      </c>
      <c r="E16" s="23" t="n">
        <v>4</v>
      </c>
      <c r="F16" s="23" t="n">
        <v>5</v>
      </c>
    </row>
    <row r="17" customFormat="false" ht="15" hidden="false" customHeight="false" outlineLevel="0" collapsed="false">
      <c r="A17" s="19" t="s">
        <v>72</v>
      </c>
      <c r="B17" s="24" t="n">
        <f aca="false">1/((1+Assumptions!$B$17)^B16)</f>
        <v>0.924214417744917</v>
      </c>
      <c r="C17" s="24" t="n">
        <f aca="false">1/((1+Assumptions!$B$17)^C16)</f>
        <v>0.854172289967576</v>
      </c>
      <c r="D17" s="24" t="n">
        <f aca="false">1/((1+Assumptions!$B$17)^D16)</f>
        <v>0.789438345626225</v>
      </c>
      <c r="E17" s="24" t="n">
        <f aca="false">1/((1+Assumptions!$B$17)^E16)</f>
        <v>0.729610300948452</v>
      </c>
      <c r="F17" s="24" t="n">
        <f aca="false">1/((1+Assumptions!$B$17)^F16)</f>
        <v>0.674316359471767</v>
      </c>
    </row>
    <row r="18" customFormat="false" ht="15" hidden="false" customHeight="false" outlineLevel="0" collapsed="false">
      <c r="A18" s="9" t="s">
        <v>73</v>
      </c>
      <c r="B18" s="20" t="n">
        <f aca="false">B12*B17</f>
        <v>8894.10813308688</v>
      </c>
      <c r="C18" s="20" t="n">
        <f aca="false">C12*C17</f>
        <v>8740.54004188861</v>
      </c>
      <c r="D18" s="20" t="n">
        <f aca="false">D12*D17</f>
        <v>8482.00030995244</v>
      </c>
      <c r="E18" s="20" t="n">
        <f aca="false">E12*E17</f>
        <v>8231.15551975343</v>
      </c>
      <c r="F18" s="20" t="n">
        <f aca="false">F12*F17</f>
        <v>7987.45462314562</v>
      </c>
    </row>
    <row r="20" customFormat="false" ht="15.75" hidden="false" customHeight="true" outlineLevel="0" collapsed="false">
      <c r="A20" s="7" t="s">
        <v>74</v>
      </c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19" t="s">
        <v>75</v>
      </c>
      <c r="B21" s="18" t="n">
        <f aca="false">F12</f>
        <v>11845.263</v>
      </c>
    </row>
    <row r="22" customFormat="false" ht="15" hidden="false" customHeight="false" outlineLevel="0" collapsed="false">
      <c r="A22" s="19" t="s">
        <v>76</v>
      </c>
      <c r="B22" s="13" t="n">
        <f aca="false">Assumptions!$B$18</f>
        <v>0.025</v>
      </c>
    </row>
    <row r="23" customFormat="false" ht="15" hidden="false" customHeight="false" outlineLevel="0" collapsed="false">
      <c r="A23" s="19" t="s">
        <v>77</v>
      </c>
      <c r="B23" s="13" t="n">
        <f aca="false">Assumptions!$B$17</f>
        <v>0.082</v>
      </c>
    </row>
    <row r="24" customFormat="false" ht="15" hidden="false" customHeight="false" outlineLevel="0" collapsed="false">
      <c r="A24" s="9" t="s">
        <v>78</v>
      </c>
      <c r="B24" s="20" t="n">
        <f aca="false">B21*(1+B22)/(B23-B22)</f>
        <v>213006.922368421</v>
      </c>
    </row>
    <row r="25" customFormat="false" ht="15" hidden="false" customHeight="false" outlineLevel="0" collapsed="false">
      <c r="A25" s="9" t="s">
        <v>79</v>
      </c>
      <c r="B25" s="20" t="n">
        <f aca="false">B24*F17</f>
        <v>143634.052433759</v>
      </c>
    </row>
    <row r="26" customFormat="false" ht="15" hidden="false" customHeight="false" outlineLevel="0" collapsed="false">
      <c r="A26" s="19" t="s">
        <v>80</v>
      </c>
      <c r="B26" s="18" t="n">
        <f aca="false">SUM(B18:F18)</f>
        <v>42335.258627827</v>
      </c>
    </row>
    <row r="27" customFormat="false" ht="15" hidden="false" customHeight="false" outlineLevel="0" collapsed="false">
      <c r="A27" s="9" t="s">
        <v>81</v>
      </c>
      <c r="B27" s="25" t="n">
        <f aca="false">B25+B26</f>
        <v>185969.311061586</v>
      </c>
    </row>
    <row r="29" customFormat="false" ht="15.75" hidden="false" customHeight="true" outlineLevel="0" collapsed="false">
      <c r="A29" s="7" t="s">
        <v>82</v>
      </c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19" t="s">
        <v>83</v>
      </c>
      <c r="B30" s="18" t="n">
        <f aca="false">B27</f>
        <v>185969.311061586</v>
      </c>
    </row>
    <row r="31" customFormat="false" ht="15" hidden="false" customHeight="false" outlineLevel="0" collapsed="false">
      <c r="A31" s="19" t="s">
        <v>84</v>
      </c>
      <c r="B31" s="10" t="n">
        <v>-35547</v>
      </c>
    </row>
    <row r="32" customFormat="false" ht="15" hidden="false" customHeight="false" outlineLevel="0" collapsed="false">
      <c r="A32" s="19" t="s">
        <v>85</v>
      </c>
      <c r="B32" s="10" t="n">
        <v>9366</v>
      </c>
    </row>
    <row r="33" customFormat="false" ht="15" hidden="false" customHeight="false" outlineLevel="0" collapsed="false">
      <c r="A33" s="9" t="s">
        <v>86</v>
      </c>
      <c r="B33" s="25" t="n">
        <f aca="false">B30+B31+B32</f>
        <v>159788.311061586</v>
      </c>
    </row>
    <row r="34" customFormat="false" ht="15" hidden="false" customHeight="false" outlineLevel="0" collapsed="false">
      <c r="A34" s="19" t="s">
        <v>55</v>
      </c>
      <c r="B34" s="10" t="n">
        <v>4320</v>
      </c>
    </row>
    <row r="35" customFormat="false" ht="15" hidden="false" customHeight="false" outlineLevel="0" collapsed="false">
      <c r="A35" s="9" t="s">
        <v>87</v>
      </c>
      <c r="B35" s="26" t="n">
        <f aca="false">B33/B34</f>
        <v>36.9880349679597</v>
      </c>
    </row>
    <row r="37" customFormat="false" ht="15.75" hidden="false" customHeight="true" outlineLevel="0" collapsed="false">
      <c r="A37" s="7" t="s">
        <v>88</v>
      </c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27" t="s">
        <v>89</v>
      </c>
      <c r="B38" s="28" t="n">
        <v>0.015</v>
      </c>
      <c r="C38" s="28" t="n">
        <v>0.02</v>
      </c>
      <c r="D38" s="28" t="n">
        <v>0.025</v>
      </c>
      <c r="E38" s="28" t="n">
        <v>0.03</v>
      </c>
      <c r="F38" s="28" t="n">
        <v>0.035</v>
      </c>
    </row>
    <row r="39" customFormat="false" ht="15" hidden="false" customHeight="false" outlineLevel="0" collapsed="false">
      <c r="A39" s="28" t="n">
        <v>0.07</v>
      </c>
      <c r="B39" s="29" t="n">
        <f aca="false">(B21*(1+0.015)/(0.07-0.015)*1/((1+0.07)^5)+B26)+(B31+B32)</f>
        <v>172012.284873636</v>
      </c>
      <c r="C39" s="29" t="n">
        <f aca="false">(B21*(1+0.02)/(0.07-0.02)*1/((1+0.07)^5)+B26)+(B31+B32)</f>
        <v>188442.638379352</v>
      </c>
      <c r="D39" s="29" t="n">
        <f aca="false">(B21*(1+0.025)/(0.07-0.025)*1/((1+0.07)^5)+B26)+(B31+B32)</f>
        <v>208524.181553004</v>
      </c>
      <c r="E39" s="29" t="n">
        <f aca="false">(B21*(1+0.03)/(0.07-0.03)*1/((1+0.07)^5)+B26)+(B31+B32)</f>
        <v>233626.11052007</v>
      </c>
      <c r="F39" s="29" t="n">
        <f aca="false">(B21*(1+0.035)/(0.07-0.035)*1/((1+0.07)^5)+B26)+(B31+B32)</f>
        <v>265900.019192012</v>
      </c>
    </row>
    <row r="40" customFormat="false" ht="15" hidden="false" customHeight="false" outlineLevel="0" collapsed="false">
      <c r="A40" s="28" t="n">
        <v>0.075</v>
      </c>
      <c r="B40" s="29" t="n">
        <f aca="false">(B21*(1+0.015)/(0.075-0.015)*1/((1+0.075)^5)+B26)+(B31+B32)</f>
        <v>155732.325261728</v>
      </c>
      <c r="C40" s="29" t="n">
        <f aca="false">(B21*(1+0.02)/(0.075-0.02)*1/((1+0.075)^5)+B26)+(B31+B32)</f>
        <v>169171.324064365</v>
      </c>
      <c r="D40" s="29" t="n">
        <f aca="false">(B21*(1+0.025)/(0.075-0.025)*1/((1+0.075)^5)+B26)+(B31+B32)</f>
        <v>185298.122627529</v>
      </c>
      <c r="E40" s="29" t="n">
        <f aca="false">(B21*(1+0.03)/(0.075-0.03)*1/((1+0.075)^5)+B26)+(B31+B32)</f>
        <v>205008.65420473</v>
      </c>
      <c r="F40" s="29" t="n">
        <f aca="false">(B21*(1+0.035)/(0.075-0.035)*1/((1+0.075)^5)+B26)+(B31+B32)</f>
        <v>229646.818676232</v>
      </c>
    </row>
    <row r="41" customFormat="false" ht="15" hidden="false" customHeight="false" outlineLevel="0" collapsed="false">
      <c r="A41" s="30" t="n">
        <v>0.082</v>
      </c>
      <c r="B41" s="29" t="n">
        <f aca="false">(B21*(1+0.015)/(0.082-0.015)*1/((1+0.082)^5)+B26)+(B31+B32)</f>
        <v>137158.235381451</v>
      </c>
      <c r="C41" s="29" t="n">
        <f aca="false">(B21*(1+0.02)/(0.082-0.02)*1/((1+0.082)^5)+B26)+(B31+B32)</f>
        <v>147560.7701699</v>
      </c>
      <c r="D41" s="31" t="n">
        <f aca="false">(B21*(1+0.025)/(0.082-0.025)*1/((1+0.082)^5)+B26)+(B31+B32)</f>
        <v>159788.311061586</v>
      </c>
      <c r="E41" s="29" t="n">
        <f aca="false">(B21*(1+0.03)/(0.082-0.03)*1/((1+0.082)^5)+B26)+(B31+B32)</f>
        <v>174367.30212475</v>
      </c>
      <c r="F41" s="29" t="n">
        <f aca="false">(B21*(1+0.035)/(0.082-0.035)*1/((1+0.082)^5)+B26)+(B31+B32)</f>
        <v>192048.206180076</v>
      </c>
    </row>
    <row r="42" customFormat="false" ht="15" hidden="false" customHeight="false" outlineLevel="0" collapsed="false">
      <c r="A42" s="28" t="n">
        <v>0.09</v>
      </c>
      <c r="B42" s="29" t="n">
        <f aca="false">(B21*(1+0.015)/(0.09-0.015)*1/((1+0.09)^5)+B26)+(B31+B32)</f>
        <v>120342.089637139</v>
      </c>
      <c r="C42" s="29" t="n">
        <f aca="false">(B21*(1+0.02)/(0.09-0.02)*1/((1+0.09)^5)+B26)+(B31+B32)</f>
        <v>128333.978152279</v>
      </c>
      <c r="D42" s="29" t="n">
        <f aca="false">(B21*(1+0.025)/(0.09-0.025)*1/((1+0.09)^5)+B26)+(B31+B32)</f>
        <v>137555.387977442</v>
      </c>
      <c r="E42" s="29" t="n">
        <f aca="false">(B21*(1+0.03)/(0.09-0.03)*1/((1+0.09)^5)+B26)+(B31+B32)</f>
        <v>148313.699440131</v>
      </c>
      <c r="F42" s="29" t="n">
        <f aca="false">(B21*(1+0.035)/(0.09-0.035)*1/((1+0.09)^5)+B26)+(B31+B32)</f>
        <v>161028.0675324</v>
      </c>
    </row>
    <row r="43" customFormat="false" ht="15" hidden="false" customHeight="false" outlineLevel="0" collapsed="false">
      <c r="A43" s="28" t="n">
        <v>0.095</v>
      </c>
      <c r="B43" s="29" t="n">
        <f aca="false">(B21*(1+0.015)/(0.095-0.015)*1/((1+0.095)^5)+B26)+(B31+B32)</f>
        <v>111620.575397098</v>
      </c>
      <c r="C43" s="29" t="n">
        <f aca="false">(B21*(1+0.02)/(0.095-0.02)*1/((1+0.095)^5)+B26)+(B31+B32)</f>
        <v>118486.625765726</v>
      </c>
      <c r="D43" s="29" t="n">
        <f aca="false">(B21*(1+0.025)/(0.095-0.025)*1/((1+0.095)^5)+B26)+(B31+B32)</f>
        <v>126333.540472728</v>
      </c>
      <c r="E43" s="29" t="n">
        <f aca="false">(B21*(1+0.03)/(0.095-0.03)*1/((1+0.095)^5)+B26)+(B31+B32)</f>
        <v>135387.672826962</v>
      </c>
      <c r="F43" s="29" t="n">
        <f aca="false">(B21*(1+0.035)/(0.095-0.035)*1/((1+0.095)^5)+B26)+(B31+B32)</f>
        <v>145950.827240235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1" min="2" style="0" width="13"/>
  </cols>
  <sheetData>
    <row r="1" customFormat="false" ht="27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92</v>
      </c>
      <c r="B4" s="3" t="s">
        <v>93</v>
      </c>
      <c r="C4" s="3" t="s">
        <v>94</v>
      </c>
      <c r="D4" s="3" t="s">
        <v>95</v>
      </c>
      <c r="E4" s="4" t="s">
        <v>96</v>
      </c>
      <c r="F4" s="4" t="s">
        <v>43</v>
      </c>
      <c r="G4" s="3" t="s">
        <v>97</v>
      </c>
      <c r="H4" s="3" t="s">
        <v>98</v>
      </c>
      <c r="I4" s="3" t="s">
        <v>99</v>
      </c>
      <c r="J4" s="3" t="s">
        <v>100</v>
      </c>
    </row>
    <row r="5" customFormat="false" ht="15" hidden="false" customHeight="false" outlineLevel="0" collapsed="false">
      <c r="A5" s="27" t="s">
        <v>101</v>
      </c>
      <c r="B5" s="32" t="n">
        <v>265000</v>
      </c>
      <c r="C5" s="32" t="n">
        <v>26181</v>
      </c>
      <c r="D5" s="33" t="n">
        <f aca="false">B5+C5</f>
        <v>291181</v>
      </c>
      <c r="E5" s="32" t="n">
        <v>45754</v>
      </c>
      <c r="F5" s="32" t="n">
        <v>13177</v>
      </c>
      <c r="G5" s="34" t="n">
        <f aca="false">D5/E5</f>
        <v>6.36405560169603</v>
      </c>
      <c r="H5" s="34" t="n">
        <f aca="false">D5/F5</f>
        <v>22.0976701828944</v>
      </c>
      <c r="I5" s="35" t="n">
        <v>24.1</v>
      </c>
      <c r="J5" s="36" t="n">
        <v>0.239</v>
      </c>
    </row>
    <row r="6" customFormat="false" ht="15" hidden="false" customHeight="false" outlineLevel="0" collapsed="false">
      <c r="A6" s="37" t="s">
        <v>102</v>
      </c>
      <c r="B6" s="38" t="n">
        <v>238000</v>
      </c>
      <c r="C6" s="38" t="n">
        <v>28500</v>
      </c>
      <c r="D6" s="39" t="n">
        <f aca="false">B6+C6</f>
        <v>266500</v>
      </c>
      <c r="E6" s="38" t="n">
        <v>91471</v>
      </c>
      <c r="F6" s="38" t="n">
        <v>15800</v>
      </c>
      <c r="G6" s="40" t="n">
        <f aca="false">D6/E6</f>
        <v>2.91349170775437</v>
      </c>
      <c r="H6" s="40" t="n">
        <f aca="false">D6/F6</f>
        <v>16.8670886075949</v>
      </c>
      <c r="I6" s="41" t="n">
        <v>23.5</v>
      </c>
      <c r="J6" s="42" t="n">
        <v>0.09</v>
      </c>
    </row>
    <row r="7" customFormat="false" ht="15" hidden="false" customHeight="false" outlineLevel="0" collapsed="false">
      <c r="A7" s="37" t="s">
        <v>103</v>
      </c>
      <c r="B7" s="38" t="n">
        <v>54000</v>
      </c>
      <c r="C7" s="38" t="n">
        <v>-2800</v>
      </c>
      <c r="D7" s="39" t="n">
        <f aca="false">B7+C7</f>
        <v>51200</v>
      </c>
      <c r="E7" s="38" t="n">
        <v>7140</v>
      </c>
      <c r="F7" s="38" t="n">
        <v>1820</v>
      </c>
      <c r="G7" s="40" t="n">
        <f aca="false">D7/E7</f>
        <v>7.17086834733894</v>
      </c>
      <c r="H7" s="40" t="n">
        <f aca="false">D7/F7</f>
        <v>28.1318681318681</v>
      </c>
      <c r="I7" s="41" t="n">
        <v>31.2</v>
      </c>
      <c r="J7" s="42" t="n">
        <v>0.228</v>
      </c>
    </row>
    <row r="8" customFormat="false" ht="15" hidden="false" customHeight="false" outlineLevel="0" collapsed="false">
      <c r="A8" s="37" t="s">
        <v>104</v>
      </c>
      <c r="B8" s="38" t="n">
        <v>48000</v>
      </c>
      <c r="C8" s="38" t="n">
        <v>11200</v>
      </c>
      <c r="D8" s="39" t="n">
        <f aca="false">B8+C8</f>
        <v>59200</v>
      </c>
      <c r="E8" s="38" t="n">
        <v>14812</v>
      </c>
      <c r="F8" s="38" t="n">
        <v>3520</v>
      </c>
      <c r="G8" s="40" t="n">
        <f aca="false">D8/E8</f>
        <v>3.99675938428301</v>
      </c>
      <c r="H8" s="40" t="n">
        <f aca="false">D8/F8</f>
        <v>16.8181818181818</v>
      </c>
      <c r="I8" s="41" t="n">
        <v>22.8</v>
      </c>
      <c r="J8" s="42" t="n">
        <v>0.112</v>
      </c>
    </row>
    <row r="9" customFormat="false" ht="15" hidden="false" customHeight="false" outlineLevel="0" collapsed="false">
      <c r="A9" s="37" t="s">
        <v>105</v>
      </c>
      <c r="B9" s="38" t="n">
        <v>43000</v>
      </c>
      <c r="C9" s="38" t="n">
        <v>11900</v>
      </c>
      <c r="D9" s="39" t="n">
        <f aca="false">B9+C9</f>
        <v>54900</v>
      </c>
      <c r="E9" s="38" t="n">
        <v>9650</v>
      </c>
      <c r="F9" s="38" t="n">
        <v>2480</v>
      </c>
      <c r="G9" s="40" t="n">
        <f aca="false">D9/E9</f>
        <v>5.68911917098446</v>
      </c>
      <c r="H9" s="40" t="n">
        <f aca="false">D9/F9</f>
        <v>22.1370967741935</v>
      </c>
      <c r="I9" s="41" t="n">
        <v>20.1</v>
      </c>
      <c r="J9" s="42" t="n">
        <v>0.134</v>
      </c>
    </row>
    <row r="11" customFormat="false" ht="15.75" hidden="false" customHeight="true" outlineLevel="0" collapsed="false">
      <c r="A11" s="7" t="s">
        <v>106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false" outlineLevel="0" collapsed="false">
      <c r="A12" s="27" t="s">
        <v>107</v>
      </c>
      <c r="G12" s="43" t="n">
        <f aca="false">QUARTILE(G5:G9,1)</f>
        <v>3.99675938428301</v>
      </c>
      <c r="H12" s="43" t="n">
        <f aca="false">QUARTILE(H5:H9,1)</f>
        <v>16.8670886075949</v>
      </c>
      <c r="I12" s="43" t="n">
        <f aca="false">QUARTILE(I5:I9,1)</f>
        <v>22.8</v>
      </c>
      <c r="J12" s="44" t="n">
        <f aca="false">QUARTILE(J5:J9,1)</f>
        <v>0.112</v>
      </c>
    </row>
    <row r="13" customFormat="false" ht="15" hidden="false" customHeight="false" outlineLevel="0" collapsed="false">
      <c r="A13" s="27" t="s">
        <v>108</v>
      </c>
      <c r="G13" s="43" t="n">
        <f aca="false">MEDIAN(G5:G9)</f>
        <v>5.68911917098446</v>
      </c>
      <c r="H13" s="43" t="n">
        <f aca="false">MEDIAN(H5:H9)</f>
        <v>22.0976701828944</v>
      </c>
      <c r="I13" s="43" t="n">
        <f aca="false">MEDIAN(I5:I9)</f>
        <v>23.5</v>
      </c>
      <c r="J13" s="44" t="n">
        <f aca="false">MEDIAN(J5:J9)</f>
        <v>0.134</v>
      </c>
    </row>
    <row r="14" customFormat="false" ht="15" hidden="false" customHeight="false" outlineLevel="0" collapsed="false">
      <c r="A14" s="27" t="s">
        <v>109</v>
      </c>
      <c r="G14" s="43" t="n">
        <f aca="false">AVERAGE(G5:G9)</f>
        <v>5.22685884241136</v>
      </c>
      <c r="H14" s="43" t="n">
        <f aca="false">AVERAGE(H5:H9)</f>
        <v>21.2103811029466</v>
      </c>
      <c r="I14" s="43" t="n">
        <f aca="false">AVERAGE(I5:I9)</f>
        <v>24.34</v>
      </c>
      <c r="J14" s="44" t="n">
        <f aca="false">AVERAGE(J5:J9)</f>
        <v>0.1606</v>
      </c>
    </row>
    <row r="15" customFormat="false" ht="15" hidden="false" customHeight="false" outlineLevel="0" collapsed="false">
      <c r="A15" s="27" t="s">
        <v>110</v>
      </c>
      <c r="G15" s="43" t="n">
        <f aca="false">QUARTILE(G5:G9,3)</f>
        <v>6.36405560169603</v>
      </c>
      <c r="H15" s="43" t="n">
        <f aca="false">QUARTILE(H5:H9,3)</f>
        <v>22.1370967741935</v>
      </c>
      <c r="I15" s="43" t="n">
        <f aca="false">QUARTILE(I5:I9,3)</f>
        <v>24.1</v>
      </c>
      <c r="J15" s="44" t="n">
        <f aca="false">QUARTILE(J5:J9,3)</f>
        <v>0.228</v>
      </c>
    </row>
    <row r="17" customFormat="false" ht="15.75" hidden="false" customHeight="true" outlineLevel="0" collapsed="false">
      <c r="A17" s="7" t="s">
        <v>111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A18" s="45" t="s">
        <v>112</v>
      </c>
      <c r="B18" s="45" t="s">
        <v>113</v>
      </c>
      <c r="C18" s="45" t="s">
        <v>114</v>
      </c>
      <c r="D18" s="45" t="s">
        <v>115</v>
      </c>
      <c r="E18" s="45" t="s">
        <v>116</v>
      </c>
      <c r="F18" s="45" t="s">
        <v>117</v>
      </c>
      <c r="G18" s="45" t="s">
        <v>118</v>
      </c>
      <c r="H18" s="45" t="s">
        <v>119</v>
      </c>
    </row>
    <row r="19" customFormat="false" ht="15" hidden="false" customHeight="false" outlineLevel="0" collapsed="false">
      <c r="A19" s="37" t="s">
        <v>120</v>
      </c>
      <c r="B19" s="46" t="n">
        <v>45754</v>
      </c>
      <c r="C19" s="47" t="n">
        <f aca="false">H13</f>
        <v>22.0976701828944</v>
      </c>
      <c r="D19" s="46" t="n">
        <f aca="false">B19*C19</f>
        <v>1011056.80154815</v>
      </c>
      <c r="E19" s="46" t="n">
        <v>26181</v>
      </c>
      <c r="F19" s="46" t="n">
        <f aca="false">D19-E19</f>
        <v>984875.801548152</v>
      </c>
      <c r="G19" s="46" t="n">
        <v>4320</v>
      </c>
      <c r="H19" s="48" t="n">
        <f aca="false">F19/G19</f>
        <v>227.980509617628</v>
      </c>
    </row>
    <row r="20" customFormat="false" ht="15" hidden="false" customHeight="false" outlineLevel="0" collapsed="false">
      <c r="A20" s="37" t="s">
        <v>121</v>
      </c>
      <c r="B20" s="46" t="n">
        <v>13177</v>
      </c>
      <c r="C20" s="47" t="n">
        <f aca="false">I13</f>
        <v>23.5</v>
      </c>
      <c r="D20" s="46" t="n">
        <f aca="false">B20*C20</f>
        <v>309659.5</v>
      </c>
      <c r="E20" s="46" t="n">
        <v>26181</v>
      </c>
      <c r="F20" s="46" t="n">
        <f aca="false">D20-E20</f>
        <v>283478.5</v>
      </c>
      <c r="G20" s="46" t="n">
        <v>4320</v>
      </c>
      <c r="H20" s="48" t="n">
        <f aca="false">F20/G20</f>
        <v>65.6200231481482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</cols>
  <sheetData>
    <row r="1" customFormat="false" ht="27.75" hidden="false" customHeight="true" outlineLevel="0" collapsed="false">
      <c r="A1" s="1" t="s">
        <v>122</v>
      </c>
      <c r="B1" s="1"/>
      <c r="C1" s="1"/>
      <c r="D1" s="1"/>
    </row>
    <row r="2" customFormat="false" ht="15" hidden="false" customHeight="false" outlineLevel="0" collapsed="false">
      <c r="A2" s="2" t="s">
        <v>123</v>
      </c>
      <c r="B2" s="2"/>
      <c r="C2" s="2"/>
      <c r="D2" s="2"/>
    </row>
    <row r="4" customFormat="false" ht="15" hidden="false" customHeight="false" outlineLevel="0" collapsed="false">
      <c r="A4" s="3" t="s">
        <v>124</v>
      </c>
      <c r="B4" s="4" t="s">
        <v>125</v>
      </c>
      <c r="C4" s="4" t="s">
        <v>126</v>
      </c>
      <c r="D4" s="3" t="s">
        <v>127</v>
      </c>
    </row>
    <row r="5" customFormat="false" ht="15" hidden="false" customHeight="false" outlineLevel="0" collapsed="false">
      <c r="A5" s="49" t="s">
        <v>128</v>
      </c>
      <c r="B5" s="50" t="n">
        <f aca="false">'DCF Valuation'!B35*0.9</f>
        <v>33.2892314711637</v>
      </c>
      <c r="C5" s="50" t="n">
        <f aca="false">'DCF Valuation'!B35*1.1</f>
        <v>40.6868384647557</v>
      </c>
      <c r="D5" s="51" t="s">
        <v>129</v>
      </c>
    </row>
    <row r="6" customFormat="false" ht="15" hidden="false" customHeight="false" outlineLevel="0" collapsed="false">
      <c r="A6" s="49" t="s">
        <v>130</v>
      </c>
      <c r="B6" s="50" t="n">
        <f aca="false">'Trading Comps'!H19</f>
        <v>227.980509617628</v>
      </c>
      <c r="C6" s="50" t="n">
        <f aca="false">'Trading Comps'!H19*1.15</f>
        <v>262.177586060272</v>
      </c>
      <c r="D6" s="51" t="s">
        <v>131</v>
      </c>
    </row>
    <row r="7" customFormat="false" ht="15" hidden="false" customHeight="false" outlineLevel="0" collapsed="false">
      <c r="A7" s="49" t="s">
        <v>132</v>
      </c>
      <c r="B7" s="50" t="n">
        <f aca="false">'Trading Comps'!H20</f>
        <v>65.6200231481482</v>
      </c>
      <c r="C7" s="50" t="n">
        <f aca="false">'Trading Comps'!H20*1.15</f>
        <v>75.4630266203704</v>
      </c>
      <c r="D7" s="51" t="s">
        <v>131</v>
      </c>
    </row>
    <row r="8" customFormat="false" ht="15" hidden="false" customHeight="false" outlineLevel="0" collapsed="false">
      <c r="A8" s="49" t="s">
        <v>133</v>
      </c>
      <c r="B8" s="52" t="n">
        <v>55</v>
      </c>
      <c r="C8" s="52" t="n">
        <v>67.5</v>
      </c>
      <c r="D8" s="51" t="s">
        <v>134</v>
      </c>
    </row>
    <row r="10" customFormat="false" ht="15" hidden="false" customHeight="false" outlineLevel="0" collapsed="false">
      <c r="A10" s="53" t="s">
        <v>135</v>
      </c>
      <c r="B10" s="53"/>
      <c r="C10" s="53"/>
      <c r="D10" s="53"/>
    </row>
    <row r="11" customFormat="false" ht="60" hidden="false" customHeight="true" outlineLevel="0" collapsed="false">
      <c r="A11" s="54" t="s">
        <v>136</v>
      </c>
      <c r="B11" s="54"/>
      <c r="C11" s="54"/>
      <c r="D11" s="54"/>
    </row>
  </sheetData>
  <mergeCells count="4">
    <mergeCell ref="A1:D1"/>
    <mergeCell ref="A2:D2"/>
    <mergeCell ref="A10:D10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2026-03-02T04:01:21Z</dcterms:created>
  <dc:creator>openpyxl</dc:creator>
  <dc:description/>
  <dc:language>en-US</dc:language>
  <cp:lastModifiedBy/>
  <dcterms:modified xsi:type="dcterms:W3CDTF">2026-03-02T04:01:21Z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